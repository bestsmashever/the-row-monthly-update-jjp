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dong\Presidium Dropbox\Development\02_Active Projects\1. Austin MSA\The Row\P0 Master Development\5_Finance\Refinance\Prosperity Refi\Calculation\"/>
    </mc:Choice>
  </mc:AlternateContent>
  <xr:revisionPtr revIDLastSave="0" documentId="13_ncr:1_{39F055FC-96DB-41FD-8C84-A93117FA0EEE}" xr6:coauthVersionLast="47" xr6:coauthVersionMax="47" xr10:uidLastSave="{00000000-0000-0000-0000-000000000000}"/>
  <bookViews>
    <workbookView xWindow="-93" yWindow="-93" windowWidth="25786" windowHeight="13866" xr2:uid="{20755645-F0C7-40A3-B08F-425B42CB1947}"/>
  </bookViews>
  <sheets>
    <sheet name="Summary" sheetId="1" r:id="rId1"/>
    <sheet name="Loan Payoff Sensitivity" sheetId="11" r:id="rId2"/>
    <sheet name="AMZL 1.0 Infrastructure" sheetId="2" r:id="rId3"/>
    <sheet name="AMZL 2.0 Infrasructure" sheetId="9" r:id="rId4"/>
    <sheet name="HEB Repurchase Price" sheetId="10" r:id="rId5"/>
  </sheets>
  <definedNames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1__123Graph_ACHART_1" hidden="1">#REF!</definedName>
    <definedName name="_1_0_S" hidden="1">#REF!</definedName>
    <definedName name="_2__123Graph_ACHART_2" hidden="1">#REF!</definedName>
    <definedName name="_2_0_S" hidden="1">#REF!</definedName>
    <definedName name="_3__123Graph_BCHART_1" hidden="1">#REF!</definedName>
    <definedName name="_3_0_0_F" hidden="1">#REF!</definedName>
    <definedName name="_4__123Graph_XCHART_1" hidden="1">#REF!</definedName>
    <definedName name="_4_0_0_F" hidden="1">#REF!</definedName>
    <definedName name="_5__123Graph_XCHART_2" hidden="1">#REF!</definedName>
    <definedName name="_5_0_0_S" hidden="1">#REF!</definedName>
    <definedName name="_6_0_0_S" hidden="1">#REF!</definedName>
    <definedName name="_a1" hidden="1">{"Assump",#N/A,TRUE,"Proforma";"first",#N/A,TRUE,"Proforma";"second",#N/A,TRUE,"Proforma";"lease1",#N/A,TRUE,"Proforma";"lease2",#N/A,TRUE,"Proforma"}</definedName>
    <definedName name="_bdm.1450B14FA809499E85BE6C83459FE79B.edm" hidden="1">#REF!</definedName>
    <definedName name="_bdm.22F5AB2FA411462B896E47B76493DA41.edm" hidden="1">#REF!</definedName>
    <definedName name="_bdm.96B781F5FFCC472A8326AC4B01FA3125.edm" hidden="1">#REF!</definedName>
    <definedName name="_bdm.9C4E67CDC56649218BCFAC98BCD9D789.edm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1a1" hidden="1">{"Assump",#N/A,TRUE,"Proforma";"first",#N/A,TRUE,"Proforma";"second",#N/A,TRUE,"Proforma";"lease1",#N/A,TRUE,"Proforma";"lease2",#N/A,TRUE,"Proforma"}</definedName>
    <definedName name="aa" hidden="1">{"AnnualRentRoll",#N/A,FALSE,"RentRoll"}</definedName>
    <definedName name="aaa" hidden="1">{"AnnualRentRoll",#N/A,FALSE,"RentRoll"}</definedName>
    <definedName name="aaaaa" hidden="1">{"Assump",#N/A,TRUE,"Proforma";"first",#N/A,TRUE,"Proforma";"second",#N/A,TRUE,"Proforma";"lease1",#N/A,TRUE,"Proforma";"lease2",#N/A,TRUE,"Proforma"}</definedName>
    <definedName name="aaaaaaa" hidden="1">{"Outflow 1",#N/A,FALSE,"Outflows-Inflows";"Outflow 2",#N/A,FALSE,"Outflows-Inflows";"Inflow 1",#N/A,FALSE,"Outflows-Inflows";"Inflow 2",#N/A,FALSE,"Outflows-Inflows"}</definedName>
    <definedName name="aasdfa" hidden="1">{"rtn",#N/A,FALSE,"RTN";"tables",#N/A,FALSE,"RTN";"cf",#N/A,FALSE,"CF";"stats",#N/A,FALSE,"Stats";"prop",#N/A,FALSE,"Prop"}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nscount" hidden="1">1</definedName>
    <definedName name="Aok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assum" hidden="1">#REF!</definedName>
    <definedName name="b" hidden="1">{#N/A,#N/A,FALSE,"ExitStratigy"}</definedName>
    <definedName name="BadLink" hidden="1">#REF!</definedName>
    <definedName name="bb" hidden="1">{#N/A,#N/A,FALSE,"ExitStratigy"}</definedName>
    <definedName name="bbb" hidden="1">{#N/A,#N/A,FALSE,"ExitStratigy"}</definedName>
    <definedName name="cc" hidden="1">{#N/A,#N/A,FALSE,"LoanAssumptions"}</definedName>
    <definedName name="ccc" hidden="1">{#N/A,#N/A,FALSE,"LoanAssumptions"}</definedName>
    <definedName name="d" hidden="1">{#N/A,#N/A,FALSE,"LoanAssumptions"}</definedName>
    <definedName name="data" hidden="1">{"data",#N/A,FALSE,"INPUT"}</definedName>
    <definedName name="dd" hidden="1">{"MonthlyRentRoll",#N/A,FALSE,"RentRoll"}</definedName>
    <definedName name="ddd" hidden="1">{"MonthlyRentRoll",#N/A,FALSE,"RentRoll"}</definedName>
    <definedName name="Debt_Calc1_Draw" hidden="1">#REF!</definedName>
    <definedName name="Debt_Calc1_End" hidden="1">#REF!</definedName>
    <definedName name="Debt_Calc1_IO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Draw" hidden="1">#REF!</definedName>
    <definedName name="Debt_Calc2_End" hidden="1">#REF!</definedName>
    <definedName name="Debt_Calc2_IO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Draw" hidden="1">#REF!</definedName>
    <definedName name="Debt_Calc3_End" hidden="1">#REF!</definedName>
    <definedName name="Debt_Calc3_IO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3_Year" hidden="1">#REF!</definedName>
    <definedName name="Debt_CalcType4" hidden="1">#REF!</definedName>
    <definedName name="Debt_CalcType5" hidden="1">#REF!</definedName>
    <definedName name="Debt_FundType1" hidden="1">#REF!</definedName>
    <definedName name="Debt_FundType2" hidden="1">#REF!</definedName>
    <definedName name="Debt_FundType3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oanType1" hidden="1">#REF!</definedName>
    <definedName name="Debt_LoanType2" hidden="1">#REF!</definedName>
    <definedName name="Debt_LoanType4" hidden="1">#REF!</definedName>
    <definedName name="DEBT_PaymentType1" hidden="1">#REF!</definedName>
    <definedName name="DEBT_PaymentType5" hidden="1">#REF!</definedName>
    <definedName name="Debt_PurchaseRange" hidden="1">0</definedName>
    <definedName name="Debt_Show1_AmortHC" hidden="1">#REF!</definedName>
    <definedName name="Debt_Show1_Amount" hidden="1">#REF!</definedName>
    <definedName name="Debt_Show1_CapEx" hidden="1">#REF!</definedName>
    <definedName name="Debt_Show1_FundMethod" hidden="1">#REF!</definedName>
    <definedName name="Debt_Show1_FundPercent" hidden="1">#REF!</definedName>
    <definedName name="Debt_Show1_Loan" hidden="1">#REF!</definedName>
    <definedName name="Debt_Show1_Rate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Method" hidden="1">#REF!</definedName>
    <definedName name="Debt_Show2_FundPercent" hidden="1">#REF!</definedName>
    <definedName name="Debt_Show2_Loan" hidden="1">#REF!</definedName>
    <definedName name="Debt_Show2_Rate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Method" hidden="1">#REF!</definedName>
    <definedName name="Debt_Show3_FundPercent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Yes" hidden="1">#REF!</definedName>
    <definedName name="ee" hidden="1">{#N/A,#N/A,FALSE,"OperatingAssumptions"}</definedName>
    <definedName name="eee" hidden="1">{#N/A,#N/A,FALSE,"OperatingAssumptions"}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dd" hidden="1">#REF!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fd" hidden="1">{#N/A,#N/A,FALSE,"Cashflow Analysis";#N/A,#N/A,FALSE,"Sensitivity Analysis";#N/A,#N/A,FALSE,"PV";#N/A,#N/A,FALSE,"Pro Forma"}</definedName>
    <definedName name="gg" hidden="1">{#N/A,#N/A,FALSE,"PropertyInfo"}</definedName>
    <definedName name="ggg" hidden="1">{#N/A,#N/A,FALSE,"PropertyInfo"}</definedName>
    <definedName name="h" hidden="1">{#N/A,#N/A,FALSE,"PropertyInfo"}</definedName>
    <definedName name="hh" hidden="1">{#N/A,#N/A,FALSE,"Summary"}</definedName>
    <definedName name="hhh" hidden="1">{#N/A,#N/A,FALSE,"Summary"}</definedName>
    <definedName name="HTML_CodePage" hidden="1">1252</definedName>
    <definedName name="HTML_Control" hidden="1">{"'Cash Requirements 5F '!$A$1:$AC$48"}</definedName>
    <definedName name="HTML_Description" hidden="1">""</definedName>
    <definedName name="HTML_Email" hidden="1">""</definedName>
    <definedName name="HTML_Header" hidden="1">"Rolling"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"Property Month End Template"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l" hidden="1">{#N/A,#N/A,FALSE,"Matrix";#N/A,#N/A,FALSE,"Cash Flow";#N/A,#N/A,FALSE,"10 Year Cost Analysis"}</definedName>
    <definedName name="laj" hidden="1">{"Outflow 1",#N/A,FALSE,"Outflows-Inflows";"Outflow 2",#N/A,FALSE,"Outflows-Inflows";"Inflow 1",#N/A,FALSE,"Outflows-Inflows";"Inflow 2",#N/A,FALSE,"Outflows-Inflows"}</definedName>
    <definedName name="m" hidden="1">{#N/A,#N/A,FALSE,"matx B4 DS";#N/A,#N/A,FALSE,"matx B4 DS Hac";#N/A,#N/A,FALSE,"matx B4 DS Chabot";#N/A,#N/A,FALSE,"matx B4 DS Diablo"}</definedName>
    <definedName name="Monthly_LIBOR" hidden="1">#REF!</definedName>
    <definedName name="Monthly_LIBOR_ROW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p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Param_BuildDate" hidden="1">#REF!</definedName>
    <definedName name="Param_BuildID" hidden="1">#REF!</definedName>
    <definedName name="Param_CashFlows" hidden="1">#REF!</definedName>
    <definedName name="Param_cBuildingID" hidden="1">#REF!</definedName>
    <definedName name="Param_Complete" hidden="1">#REF!</definedName>
    <definedName name="Param_Consolidated" hidden="1">#REF!</definedName>
    <definedName name="Param_CumRent" hidden="1">#REF!</definedName>
    <definedName name="Param_CurrentDate" hidden="1">#REF!</definedName>
    <definedName name="Param_Database" hidden="1">#REF!</definedName>
    <definedName name="Param_DLLVersion" hidden="1">#REF!</definedName>
    <definedName name="Param_DRCredit" hidden="1">#REF!</definedName>
    <definedName name="Param_DRNonCredit" hidden="1">#REF!</definedName>
    <definedName name="Param_ExcludeTenants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LastDate" hidden="1">#REF!</definedName>
    <definedName name="Param_Markets" hidden="1">#REF!</definedName>
    <definedName name="Param_Properties" hidden="1">#REF!</definedName>
    <definedName name="Param_PVAbatement" hidden="1">#REF!</definedName>
    <definedName name="Param_RecDate" hidden="1">#REF!</definedName>
    <definedName name="Param_RentDate" hidden="1">#REF!</definedName>
    <definedName name="Param_RLAToolsVersion" hidden="1">#REF!</definedName>
    <definedName name="Param_SLAbatement" hidden="1">#REF!</definedName>
    <definedName name="Param_Start" hidden="1">#REF!</definedName>
    <definedName name="Param_Tenants" hidden="1">#REF!</definedName>
    <definedName name="Param_Term" hidden="1">#REF!</definedName>
    <definedName name="Param_UWDate" hidden="1">#REF!</definedName>
    <definedName name="Param_VacMarket" hidden="1">#REF!</definedName>
    <definedName name="Param_VacRenew" hidden="1">#REF!</definedName>
    <definedName name="Param_VacVacate" hidden="1">#REF!</definedName>
    <definedName name="Param_Version" hidden="1">#REF!</definedName>
    <definedName name="R_TASKLOG_Range" hidden="1">#REF!</definedName>
    <definedName name="Rename" hidden="1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LAINPUT_DebtLoan1CapEx" hidden="1">#REF!</definedName>
    <definedName name="RLAINPUT_DebtLoan1FixedPIPayment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ixedPIPayment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ixedPIPayment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ExecSumYears" hidden="1">#REF!</definedName>
    <definedName name="RLAINPUT_InPlaceRecovery" hidden="1">#REF!</definedName>
    <definedName name="RLAINPUT_InputDisp" hidden="1">#REF!</definedName>
    <definedName name="RLAINPUT_Inputs" hidden="1">#REF!</definedName>
    <definedName name="RLAINPUT_Loan3Refi" hidden="1">#REF!,#REF!,#REF!</definedName>
    <definedName name="saa" hidden="1">{"rtn",#N/A,FALSE,"RTN";"tables",#N/A,FALSE,"RTN";"cf",#N/A,FALSE,"CF";"stats",#N/A,FALSE,"Stats";"prop",#N/A,FALSE,"Prop"}</definedName>
    <definedName name="sas" hidden="1">{"Outflow 1",#N/A,FALSE,"Outflows-Inflows";"Outflow 2",#N/A,FALSE,"Outflows-Inflows";"Inflow 1",#N/A,FALSE,"Outflows-Inflows";"Inflow 2",#N/A,FALSE,"Outflows-Inflows"}</definedName>
    <definedName name="sdaf" hidden="1">#REF!</definedName>
    <definedName name="sdfass" hidden="1">{"Outflow 1",#N/A,FALSE,"Outflows-Inflows";"Outflow 2",#N/A,FALSE,"Outflows-Inflows";"Inflow 1",#N/A,FALSE,"Outflows-Inflows";"Inflow 2",#N/A,FALSE,"Outflows-Inflows"}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UMMARY_AcquisitionDate" hidden="1">#REF!</definedName>
    <definedName name="SUMMARY_AsOfDate" hidden="1">#REF!</definedName>
    <definedName name="SUMMARY_AssetName" hidden="1">#REF!</definedName>
    <definedName name="SUMMARY_AssetType" hidden="1">#REF!</definedName>
    <definedName name="SUMMARY_ExitDate" hidden="1">#REF!</definedName>
    <definedName name="SUMMARY_Funds" hidden="1">#REF!</definedName>
    <definedName name="SUMMARY_ModelDescription" hidden="1">#REF!</definedName>
    <definedName name="SUMMARY_SalesPrice" hidden="1">#REF!</definedName>
    <definedName name="SUMMARY_SalesPricePSF" hidden="1">#REF!</definedName>
    <definedName name="trial" hidden="1">{"Outflow 1",#N/A,FALSE,"Outflows-Inflows";"Outflow 2",#N/A,FALSE,"Outflows-Inflows";"Inflow 1",#N/A,FALSE,"Outflows-Inflows";"Inflow 2",#N/A,FALSE,"Outflows-Inflows"}</definedName>
    <definedName name="value1" hidden="1">{#N/A,#N/A,FALSE,"Cashflow Analysis";#N/A,#N/A,FALSE,"Sensitivity Analysis";#N/A,#N/A,FALSE,"PV";#N/A,#N/A,FALSE,"Pro Forma"}</definedName>
    <definedName name="vBroker_vs_v1" hidden="1">#REF!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6._.Month._.Financial._.Recap." hidden="1">{#N/A,#N/A,FALSE,"Recap"}</definedName>
    <definedName name="wrn.36._.Month._.Pro._.Forma." hidden="1">{#N/A,#N/A,FALSE,"36MoProForma";#N/A,#N/A,FALSE,"Recap"}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nnualRentRoll." hidden="1">{"AnnualRentRoll",#N/A,FALSE,"RentRoll"}</definedName>
    <definedName name="wrn.Assumption._.Recap._.Sheet." hidden="1">{#N/A,#N/A,FALSE,"AssumpRecap"}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onds." hidden="1">{#N/A,#N/A,FALSE,"Bonds - Consol";#N/A,#N/A,FALSE,"Bonds - Lakes";#N/A,#N/A,FALSE,"Bonds - Chabot";#N/A,#N/A,FALSE,"Bonds - Diablo"}</definedName>
    <definedName name="wrn.Capx." hidden="1">{"Capx/exp",#N/A,FALSE,"CapX"}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data." hidden="1">{"data",#N/A,FALSE,"INPUT"}</definedName>
    <definedName name="wrn.data5" hidden="1">{"data",#N/A,FALSE,"INPUT"}</definedName>
    <definedName name="wrn.DEDUCT_INTEREST." hidden="1">{"DEDUCTIBLE INT RECAP",#N/A,FALSE,"Recap"}</definedName>
    <definedName name="wrn.Detailed._.Partnership._.Returns._.Leveraged." hidden="1">{"Return Analysis - Leveraged",#N/A,FALSE,"Return Analysis - Leveraged"}</definedName>
    <definedName name="wrn.Detailed._.Unit._.Mix._.Sheet." hidden="1">{#N/A,#N/A,FALSE,"Unit Mix"}</definedName>
    <definedName name="wrn.development._.budget._.detail." hidden="1">{"Detail Development Cost Summary",#N/A,FALSE,"Cost Sum"}</definedName>
    <definedName name="wrn.Exhibits." hidden="1">{#N/A,#N/A,FALSE,"Historical";#N/A,#N/A,FALSE,"Adjusted";#N/A,#N/A,FALSE,"CAM Alloc.";#N/A,#N/A,FALSE,"Projected CAM"}</definedName>
    <definedName name="wrn.ExitAndSalesAssumptions." hidden="1">{#N/A,#N/A,FALSE,"ExitStratigy"}</definedName>
    <definedName name="wrn.FINANCE._.PACKAGE._.ALL._.PAGES." hidden="1">{#N/A,#N/A,FALSE,"Deal Structure";#N/A,#N/A,FALSE,"AssumpRecap";"Dev Cost Sum and Yield",#N/A,FALSE,"Cost Sum";"Equity, LTV and loan calc",#N/A,FALSE,"Cost Sum";#N/A,#N/A,FALSE,"SalesWaterfall";"Detail Development Cost Summary",#N/A,FALSE,"Cost Sum";#N/A,#N/A,FALSE,"Unit Mix";#N/A,#N/A,FALSE,"Oper Exp";"Recap",#N/A,FALSE,"Recap";#N/A,#N/A,FALSE,"36MoProForma"}</definedName>
    <definedName name="wrn.Garage." hidden="1">{#N/A,#N/A,FALSE,"Garage Assumpt 1";#N/A,#N/A,FALSE,"Garage Op Proj";#N/A,#N/A,FALSE,"Hist I&amp;E";#N/A,#N/A,FALSE,"Garage Lease"}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y._.Proforma." hidden="1">{"History &amp; Projection",#N/A,FALSE,"History - Proforma"}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._.page." hidden="1">{"Input page",#N/A,FALSE,"Inputs"}</definedName>
    <definedName name="wrn.Investment._.Review." hidden="1">{#N/A,#N/A,FALSE,"Proforma Five Yr";#N/A,#N/A,FALSE,"Capital Input";#N/A,#N/A,FALSE,"Calculations";#N/A,#N/A,FALSE,"Transaction Summary-DTW"}</definedName>
    <definedName name="wrn.LoanInformation." hidden="1">{#N/A,#N/A,FALSE,"LoanAssumptions"}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hidden="1">{"MonthlyRentRoll",#N/A,FALSE,"RentRoll"}</definedName>
    <definedName name="wrn.Operating._.Expenses._.Sheets." hidden="1">{#N/A,#N/A,FALSE,"Oper Exp"}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Phase._.I." hidden="1">{#N/A,#N/A,FALSE,"Transaction Summary-DTW";#N/A,#N/A,FALSE,"Proforma Five Yr";#N/A,#N/A,FALSE,"Occ and Rate"}</definedName>
    <definedName name="wrn.Presentation." hidden="1">{#N/A,#N/A,TRUE,"Summary";"AnnualRentRoll",#N/A,TRUE,"RentRoll";#N/A,#N/A,TRUE,"ExitStratigy";#N/A,#N/A,TRUE,"OperatingAssumptions"}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Information." hidden="1">{#N/A,#N/A,FALSE,"PropertyInfo"}</definedName>
    <definedName name="wrn.recap_at_sale." hidden="1">{"Recap at sale",#N/A,FALSE,"Recap"}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Sale._.Computation._.Sheets." hidden="1">{#N/A,#N/A,FALSE,"SalesWaterfall"}</definedName>
    <definedName name="wrn.Schedules.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hort._.Print." hidden="1">{#N/A,#N/A,FALSE,"Cover";#N/A,#N/A,FALSE,"Stack";#N/A,#N/A,FALSE,"Cost S";#N/A,#N/A,FALSE," CF";#N/A,#N/A,FALSE,"Investor"}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hidden="1">{"rtn",#N/A,FALSE,"RTN";"tables",#N/A,FALSE,"RTN";"cf",#N/A,FALSE,"CF";"stats",#N/A,FALSE,"Stats";"prop",#N/A,FALSE,"Prop"}</definedName>
    <definedName name="wrn.Value." hidden="1">{#N/A,#N/A,FALSE,"Cashflow Analysis";#N/A,#N/A,FALSE,"Sensitivity Analysis";#N/A,#N/A,FALSE,"PV";#N/A,#N/A,FALSE,"Pro Forma"}</definedName>
    <definedName name="x" hidden="1">{#N/A,#N/A,FALSE,"Cashflow Analysis";#N/A,#N/A,FALSE,"Sensitivity Analysis";#N/A,#N/A,FALSE,"PV";#N/A,#N/A,FALSE,"Pro Forma"}</definedName>
    <definedName name="zzz" hidden="1">{"Outflow 1",#N/A,FALSE,"Outflows-Inflows";"Outflow 2",#N/A,FALSE,"Outflows-Inflows";"Inflow 1",#N/A,FALSE,"Outflows-Inflows";"Inflow 2",#N/A,FALSE,"Outflows-Inflows"}</definedName>
    <definedName name="zzzz" hidden="1">{"AnnualRentRoll",#N/A,FALSE,"RentRoll"}</definedName>
    <definedName name="zzzzzz" hidden="1">{"AnnualRentRoll",#N/A,FALSE,"RentRoll"}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1" l="1"/>
  <c r="T11" i="1"/>
  <c r="T9" i="1"/>
  <c r="T7" i="1"/>
  <c r="T6" i="1"/>
  <c r="T5" i="1"/>
  <c r="H30" i="1"/>
  <c r="G30" i="1"/>
  <c r="G29" i="1"/>
  <c r="D61" i="1"/>
  <c r="C61" i="1"/>
  <c r="D59" i="1"/>
  <c r="D60" i="1"/>
  <c r="D49" i="1"/>
  <c r="D43" i="1"/>
  <c r="D40" i="1"/>
  <c r="D35" i="1"/>
  <c r="D31" i="1"/>
  <c r="P11" i="1"/>
  <c r="D14" i="1"/>
  <c r="H48" i="1"/>
  <c r="E8" i="9"/>
  <c r="E7" i="9"/>
  <c r="E6" i="9"/>
  <c r="E5" i="9"/>
  <c r="E4" i="9"/>
  <c r="E3" i="9"/>
  <c r="C8" i="9"/>
  <c r="C7" i="9"/>
  <c r="C6" i="9"/>
  <c r="C5" i="9"/>
  <c r="C4" i="9"/>
  <c r="C3" i="9"/>
  <c r="G9" i="9"/>
  <c r="E5" i="2"/>
  <c r="C5" i="2"/>
  <c r="G7" i="2"/>
  <c r="E7" i="2"/>
  <c r="C7" i="2"/>
  <c r="L22" i="1"/>
  <c r="B1" i="10"/>
  <c r="G115" i="10"/>
  <c r="H7" i="1"/>
  <c r="H77" i="1"/>
  <c r="H10" i="1"/>
  <c r="D10" i="1"/>
  <c r="D9" i="1"/>
  <c r="D37" i="1" l="1"/>
  <c r="D45" i="1" s="1"/>
  <c r="D18" i="1" s="1"/>
  <c r="D55" i="1"/>
  <c r="E9" i="9"/>
  <c r="F9" i="9" s="1"/>
  <c r="C9" i="9"/>
  <c r="D17" i="1"/>
  <c r="D4" i="10"/>
  <c r="H69" i="1"/>
  <c r="H9" i="1"/>
  <c r="H79" i="1"/>
  <c r="D50" i="1" l="1"/>
  <c r="D51" i="1" s="1"/>
  <c r="D23" i="1"/>
  <c r="D25" i="1" s="1"/>
  <c r="H40" i="1"/>
  <c r="D9" i="9"/>
  <c r="G53" i="1"/>
  <c r="H53" i="1" s="1"/>
  <c r="K30" i="1" s="1"/>
  <c r="L30" i="1" s="1"/>
  <c r="C3" i="11" s="1"/>
  <c r="H60" i="1"/>
  <c r="H62" i="1" s="1"/>
  <c r="H14" i="1"/>
  <c r="D5" i="10"/>
  <c r="E4" i="10"/>
  <c r="F4" i="10" s="1"/>
  <c r="G4" i="10" s="1"/>
  <c r="H80" i="1"/>
  <c r="H82" i="1" s="1"/>
  <c r="H5" i="1" s="1"/>
  <c r="P6" i="1" l="1"/>
  <c r="H41" i="1"/>
  <c r="H35" i="1"/>
  <c r="D6" i="10"/>
  <c r="E5" i="10"/>
  <c r="F5" i="10" s="1"/>
  <c r="G5" i="10" s="1"/>
  <c r="H37" i="1" l="1"/>
  <c r="H17" i="1"/>
  <c r="D7" i="10"/>
  <c r="E6" i="10"/>
  <c r="F6" i="10" s="1"/>
  <c r="G6" i="10" s="1"/>
  <c r="E7" i="10" l="1"/>
  <c r="F7" i="10" s="1"/>
  <c r="G7" i="10" s="1"/>
  <c r="D8" i="10"/>
  <c r="D9" i="10" l="1"/>
  <c r="E8" i="10"/>
  <c r="F8" i="10" s="1"/>
  <c r="G8" i="10" s="1"/>
  <c r="D10" i="10" l="1"/>
  <c r="E9" i="10"/>
  <c r="F9" i="10" s="1"/>
  <c r="G9" i="10" s="1"/>
  <c r="E10" i="10" l="1"/>
  <c r="F10" i="10" s="1"/>
  <c r="G10" i="10" s="1"/>
  <c r="D11" i="10"/>
  <c r="E11" i="10" l="1"/>
  <c r="F11" i="10" s="1"/>
  <c r="G11" i="10" s="1"/>
  <c r="D12" i="10"/>
  <c r="G31" i="1" l="1"/>
  <c r="H58" i="1"/>
  <c r="D13" i="10"/>
  <c r="E12" i="10"/>
  <c r="F12" i="10" s="1"/>
  <c r="G12" i="10" s="1"/>
  <c r="E13" i="10" l="1"/>
  <c r="F13" i="10" s="1"/>
  <c r="G13" i="10" s="1"/>
  <c r="D14" i="10"/>
  <c r="D15" i="10" l="1"/>
  <c r="E14" i="10"/>
  <c r="F14" i="10" s="1"/>
  <c r="G14" i="10" s="1"/>
  <c r="D16" i="10" l="1"/>
  <c r="E15" i="10"/>
  <c r="F15" i="10" s="1"/>
  <c r="G15" i="10" s="1"/>
  <c r="D17" i="10" l="1"/>
  <c r="E16" i="10"/>
  <c r="F16" i="10" s="1"/>
  <c r="G16" i="10" s="1"/>
  <c r="E17" i="10" l="1"/>
  <c r="F17" i="10" s="1"/>
  <c r="G17" i="10" s="1"/>
  <c r="D18" i="10"/>
  <c r="E18" i="10" l="1"/>
  <c r="F18" i="10" s="1"/>
  <c r="G18" i="10" s="1"/>
  <c r="D19" i="10"/>
  <c r="E19" i="10" l="1"/>
  <c r="F19" i="10" s="1"/>
  <c r="G19" i="10" s="1"/>
  <c r="D20" i="10"/>
  <c r="D21" i="10" l="1"/>
  <c r="E20" i="10"/>
  <c r="F20" i="10" s="1"/>
  <c r="G20" i="10" s="1"/>
  <c r="E21" i="10" l="1"/>
  <c r="F21" i="10" s="1"/>
  <c r="G21" i="10" s="1"/>
  <c r="D23" i="10"/>
  <c r="D22" i="10"/>
  <c r="E22" i="10" s="1"/>
  <c r="F22" i="10" s="1"/>
  <c r="G22" i="10" s="1"/>
  <c r="D24" i="10" l="1"/>
  <c r="E23" i="10"/>
  <c r="F23" i="10" s="1"/>
  <c r="G23" i="10" s="1"/>
  <c r="E24" i="10" l="1"/>
  <c r="F24" i="10" s="1"/>
  <c r="G24" i="10" s="1"/>
  <c r="D25" i="10"/>
  <c r="E25" i="10" l="1"/>
  <c r="F25" i="10" s="1"/>
  <c r="G25" i="10" s="1"/>
  <c r="D26" i="10"/>
  <c r="E26" i="10" l="1"/>
  <c r="F26" i="10" s="1"/>
  <c r="G26" i="10" s="1"/>
  <c r="D27" i="10"/>
  <c r="D28" i="10" l="1"/>
  <c r="E27" i="10"/>
  <c r="F27" i="10" s="1"/>
  <c r="G27" i="10" s="1"/>
  <c r="D29" i="10" l="1"/>
  <c r="E28" i="10"/>
  <c r="F28" i="10" s="1"/>
  <c r="G28" i="10" s="1"/>
  <c r="E29" i="10" l="1"/>
  <c r="F29" i="10" s="1"/>
  <c r="G29" i="10" s="1"/>
  <c r="D30" i="10"/>
  <c r="E30" i="10" l="1"/>
  <c r="F30" i="10" s="1"/>
  <c r="G30" i="10" s="1"/>
  <c r="D31" i="10"/>
  <c r="D32" i="10" l="1"/>
  <c r="E31" i="10"/>
  <c r="F31" i="10" s="1"/>
  <c r="G31" i="10" s="1"/>
  <c r="D33" i="10" l="1"/>
  <c r="E32" i="10"/>
  <c r="F32" i="10" s="1"/>
  <c r="G32" i="10" s="1"/>
  <c r="D34" i="10" l="1"/>
  <c r="E33" i="10"/>
  <c r="F33" i="10" s="1"/>
  <c r="G33" i="10" s="1"/>
  <c r="D35" i="10" l="1"/>
  <c r="E34" i="10"/>
  <c r="F34" i="10" s="1"/>
  <c r="G34" i="10" s="1"/>
  <c r="D36" i="10" l="1"/>
  <c r="E35" i="10"/>
  <c r="F35" i="10" s="1"/>
  <c r="G35" i="10" s="1"/>
  <c r="D37" i="10" l="1"/>
  <c r="E36" i="10"/>
  <c r="F36" i="10" s="1"/>
  <c r="G36" i="10" s="1"/>
  <c r="D38" i="10" l="1"/>
  <c r="E37" i="10"/>
  <c r="F37" i="10" s="1"/>
  <c r="G37" i="10" s="1"/>
  <c r="D39" i="10" l="1"/>
  <c r="E38" i="10"/>
  <c r="F38" i="10" s="1"/>
  <c r="G38" i="10" s="1"/>
  <c r="E39" i="10" l="1"/>
  <c r="F39" i="10" s="1"/>
  <c r="G39" i="10" s="1"/>
  <c r="D40" i="10"/>
  <c r="E40" i="10" l="1"/>
  <c r="F40" i="10" s="1"/>
  <c r="G40" i="10" s="1"/>
  <c r="D41" i="10"/>
  <c r="D42" i="10" l="1"/>
  <c r="E41" i="10"/>
  <c r="F41" i="10" s="1"/>
  <c r="G41" i="10" s="1"/>
  <c r="E42" i="10" l="1"/>
  <c r="F42" i="10" s="1"/>
  <c r="G42" i="10" s="1"/>
  <c r="D43" i="10"/>
  <c r="D44" i="10" l="1"/>
  <c r="E43" i="10"/>
  <c r="F43" i="10" s="1"/>
  <c r="G43" i="10" s="1"/>
  <c r="D45" i="10" l="1"/>
  <c r="E44" i="10"/>
  <c r="F44" i="10" s="1"/>
  <c r="G44" i="10" s="1"/>
  <c r="E45" i="10" l="1"/>
  <c r="F45" i="10" s="1"/>
  <c r="G45" i="10" s="1"/>
  <c r="D46" i="10"/>
  <c r="D47" i="10" l="1"/>
  <c r="E46" i="10"/>
  <c r="F46" i="10" s="1"/>
  <c r="G46" i="10" s="1"/>
  <c r="E47" i="10" l="1"/>
  <c r="F47" i="10" s="1"/>
  <c r="G47" i="10" s="1"/>
  <c r="D48" i="10"/>
  <c r="E48" i="10" l="1"/>
  <c r="F48" i="10" s="1"/>
  <c r="G48" i="10" s="1"/>
  <c r="D49" i="10"/>
  <c r="E49" i="10" l="1"/>
  <c r="F49" i="10" s="1"/>
  <c r="G49" i="10" s="1"/>
  <c r="D50" i="10"/>
  <c r="D51" i="10" l="1"/>
  <c r="E50" i="10"/>
  <c r="F50" i="10" s="1"/>
  <c r="G50" i="10" s="1"/>
  <c r="D52" i="10" l="1"/>
  <c r="E51" i="10"/>
  <c r="F51" i="10" s="1"/>
  <c r="G51" i="10" s="1"/>
  <c r="E52" i="10" l="1"/>
  <c r="F52" i="10" s="1"/>
  <c r="G52" i="10" s="1"/>
  <c r="D53" i="10"/>
  <c r="D54" i="10" l="1"/>
  <c r="E53" i="10"/>
  <c r="F53" i="10" s="1"/>
  <c r="G53" i="10" s="1"/>
  <c r="D55" i="10" l="1"/>
  <c r="E54" i="10"/>
  <c r="F54" i="10" s="1"/>
  <c r="G54" i="10" s="1"/>
  <c r="D56" i="10" l="1"/>
  <c r="E55" i="10"/>
  <c r="F55" i="10" s="1"/>
  <c r="G55" i="10" s="1"/>
  <c r="D57" i="10" l="1"/>
  <c r="E56" i="10"/>
  <c r="F56" i="10" s="1"/>
  <c r="G56" i="10" s="1"/>
  <c r="D58" i="10" l="1"/>
  <c r="E57" i="10"/>
  <c r="F57" i="10" s="1"/>
  <c r="G57" i="10" s="1"/>
  <c r="E58" i="10" l="1"/>
  <c r="F58" i="10" s="1"/>
  <c r="G58" i="10" s="1"/>
  <c r="D59" i="10"/>
  <c r="E59" i="10" l="1"/>
  <c r="F59" i="10" s="1"/>
  <c r="G59" i="10" s="1"/>
  <c r="D60" i="10"/>
  <c r="D61" i="10" l="1"/>
  <c r="E60" i="10"/>
  <c r="F60" i="10" s="1"/>
  <c r="G60" i="10" s="1"/>
  <c r="D62" i="10" l="1"/>
  <c r="E61" i="10"/>
  <c r="F61" i="10" s="1"/>
  <c r="G61" i="10" s="1"/>
  <c r="E62" i="10" l="1"/>
  <c r="F62" i="10" s="1"/>
  <c r="G62" i="10" s="1"/>
  <c r="D63" i="10"/>
  <c r="E63" i="10" l="1"/>
  <c r="F63" i="10" s="1"/>
  <c r="G63" i="10" s="1"/>
  <c r="D64" i="10"/>
  <c r="D65" i="10" l="1"/>
  <c r="E64" i="10"/>
  <c r="F64" i="10" s="1"/>
  <c r="G64" i="10" s="1"/>
  <c r="E65" i="10" l="1"/>
  <c r="F65" i="10" s="1"/>
  <c r="G65" i="10" s="1"/>
  <c r="D66" i="10"/>
  <c r="D67" i="10" l="1"/>
  <c r="E66" i="10"/>
  <c r="F66" i="10" s="1"/>
  <c r="G66" i="10" s="1"/>
  <c r="D68" i="10" l="1"/>
  <c r="E67" i="10"/>
  <c r="F67" i="10" s="1"/>
  <c r="G67" i="10" s="1"/>
  <c r="E68" i="10" l="1"/>
  <c r="F68" i="10" s="1"/>
  <c r="G68" i="10" s="1"/>
  <c r="D69" i="10"/>
  <c r="D70" i="10" l="1"/>
  <c r="E69" i="10"/>
  <c r="F69" i="10" s="1"/>
  <c r="G69" i="10" s="1"/>
  <c r="E70" i="10" l="1"/>
  <c r="F70" i="10" s="1"/>
  <c r="G70" i="10" s="1"/>
  <c r="D71" i="10"/>
  <c r="D72" i="10" l="1"/>
  <c r="E71" i="10"/>
  <c r="F71" i="10" s="1"/>
  <c r="G71" i="10" s="1"/>
  <c r="E72" i="10" l="1"/>
  <c r="F72" i="10" s="1"/>
  <c r="G72" i="10" s="1"/>
  <c r="D73" i="10"/>
  <c r="E73" i="10" l="1"/>
  <c r="F73" i="10" s="1"/>
  <c r="G73" i="10" s="1"/>
  <c r="D74" i="10"/>
  <c r="D75" i="10" l="1"/>
  <c r="E74" i="10"/>
  <c r="F74" i="10" s="1"/>
  <c r="G74" i="10" s="1"/>
  <c r="E75" i="10" l="1"/>
  <c r="F75" i="10" s="1"/>
  <c r="G75" i="10" s="1"/>
  <c r="D76" i="10"/>
  <c r="D77" i="10" l="1"/>
  <c r="E76" i="10"/>
  <c r="F76" i="10" s="1"/>
  <c r="G76" i="10" s="1"/>
  <c r="D78" i="10" l="1"/>
  <c r="E77" i="10"/>
  <c r="F77" i="10" s="1"/>
  <c r="G77" i="10" s="1"/>
  <c r="E78" i="10" l="1"/>
  <c r="F78" i="10" s="1"/>
  <c r="G78" i="10" s="1"/>
  <c r="D79" i="10"/>
  <c r="E79" i="10" l="1"/>
  <c r="F79" i="10" s="1"/>
  <c r="G79" i="10" s="1"/>
  <c r="D80" i="10"/>
  <c r="E80" i="10" l="1"/>
  <c r="F80" i="10" s="1"/>
  <c r="G80" i="10" s="1"/>
  <c r="D81" i="10"/>
  <c r="E81" i="10" l="1"/>
  <c r="F81" i="10" s="1"/>
  <c r="G81" i="10" s="1"/>
  <c r="D82" i="10"/>
  <c r="E82" i="10" l="1"/>
  <c r="F82" i="10" s="1"/>
  <c r="G82" i="10" s="1"/>
  <c r="D83" i="10"/>
  <c r="E83" i="10" l="1"/>
  <c r="F83" i="10" s="1"/>
  <c r="G83" i="10" s="1"/>
  <c r="D84" i="10"/>
  <c r="E84" i="10" l="1"/>
  <c r="F84" i="10" s="1"/>
  <c r="G84" i="10" s="1"/>
  <c r="D85" i="10"/>
  <c r="E85" i="10" l="1"/>
  <c r="F85" i="10" s="1"/>
  <c r="G85" i="10" s="1"/>
  <c r="D86" i="10"/>
  <c r="D87" i="10" l="1"/>
  <c r="E86" i="10"/>
  <c r="F86" i="10" s="1"/>
  <c r="G86" i="10" s="1"/>
  <c r="E87" i="10" l="1"/>
  <c r="F87" i="10" s="1"/>
  <c r="G87" i="10" s="1"/>
  <c r="D88" i="10"/>
  <c r="E88" i="10" l="1"/>
  <c r="F88" i="10" s="1"/>
  <c r="G88" i="10" s="1"/>
  <c r="D89" i="10"/>
  <c r="E89" i="10" l="1"/>
  <c r="F89" i="10" s="1"/>
  <c r="G89" i="10" s="1"/>
  <c r="D90" i="10"/>
  <c r="D91" i="10" l="1"/>
  <c r="E90" i="10"/>
  <c r="F90" i="10" s="1"/>
  <c r="G90" i="10" s="1"/>
  <c r="E91" i="10" l="1"/>
  <c r="F91" i="10" s="1"/>
  <c r="G91" i="10" s="1"/>
  <c r="D92" i="10"/>
  <c r="E92" i="10" l="1"/>
  <c r="F92" i="10" s="1"/>
  <c r="G92" i="10" s="1"/>
  <c r="D93" i="10"/>
  <c r="E93" i="10" l="1"/>
  <c r="F93" i="10" s="1"/>
  <c r="G93" i="10" s="1"/>
  <c r="D94" i="10"/>
  <c r="E94" i="10" l="1"/>
  <c r="F94" i="10" s="1"/>
  <c r="G94" i="10" s="1"/>
  <c r="D95" i="10"/>
  <c r="E95" i="10" l="1"/>
  <c r="F95" i="10" s="1"/>
  <c r="G95" i="10" s="1"/>
  <c r="D96" i="10"/>
  <c r="E96" i="10" l="1"/>
  <c r="F96" i="10" s="1"/>
  <c r="G96" i="10" s="1"/>
  <c r="D97" i="10"/>
  <c r="E97" i="10" l="1"/>
  <c r="F97" i="10" s="1"/>
  <c r="G97" i="10" s="1"/>
  <c r="D98" i="10"/>
  <c r="E98" i="10" l="1"/>
  <c r="F98" i="10" s="1"/>
  <c r="G98" i="10" s="1"/>
  <c r="D99" i="10"/>
  <c r="E99" i="10" l="1"/>
  <c r="F99" i="10" s="1"/>
  <c r="G99" i="10" s="1"/>
  <c r="D100" i="10"/>
  <c r="E100" i="10" l="1"/>
  <c r="F100" i="10" s="1"/>
  <c r="G100" i="10" s="1"/>
  <c r="D101" i="10"/>
  <c r="E101" i="10" l="1"/>
  <c r="F101" i="10" s="1"/>
  <c r="G101" i="10" s="1"/>
  <c r="D102" i="10"/>
  <c r="E102" i="10" l="1"/>
  <c r="F102" i="10" s="1"/>
  <c r="G102" i="10" s="1"/>
  <c r="D103" i="10"/>
  <c r="E103" i="10" l="1"/>
  <c r="F103" i="10" s="1"/>
  <c r="G103" i="10" s="1"/>
  <c r="D104" i="10"/>
  <c r="E104" i="10" l="1"/>
  <c r="F104" i="10" s="1"/>
  <c r="G104" i="10" s="1"/>
  <c r="D105" i="10"/>
  <c r="E105" i="10" l="1"/>
  <c r="F105" i="10" s="1"/>
  <c r="G105" i="10" s="1"/>
  <c r="D106" i="10"/>
  <c r="D107" i="10" l="1"/>
  <c r="E106" i="10"/>
  <c r="F106" i="10" s="1"/>
  <c r="G106" i="10" s="1"/>
  <c r="E107" i="10" l="1"/>
  <c r="F107" i="10" s="1"/>
  <c r="G107" i="10" s="1"/>
  <c r="D108" i="10"/>
  <c r="E108" i="10" l="1"/>
  <c r="F108" i="10" s="1"/>
  <c r="G108" i="10" s="1"/>
  <c r="D109" i="10"/>
  <c r="E109" i="10" l="1"/>
  <c r="F109" i="10" s="1"/>
  <c r="G109" i="10" s="1"/>
  <c r="D110" i="10"/>
  <c r="D111" i="10" l="1"/>
  <c r="E110" i="10"/>
  <c r="F110" i="10" s="1"/>
  <c r="G110" i="10" s="1"/>
  <c r="E111" i="10" l="1"/>
  <c r="F111" i="10" s="1"/>
  <c r="G111" i="10" s="1"/>
  <c r="D112" i="10"/>
  <c r="E112" i="10" s="1"/>
  <c r="F112" i="10" s="1"/>
  <c r="G112" i="10" s="1"/>
  <c r="G114" i="10" l="1"/>
  <c r="G116" i="10" l="1"/>
  <c r="L12" i="1"/>
  <c r="L13" i="1" l="1"/>
  <c r="L15" i="1" l="1"/>
  <c r="L7" i="1"/>
  <c r="T10" i="1" s="1"/>
  <c r="H64" i="1"/>
  <c r="L17" i="1" l="1"/>
  <c r="L24" i="1" s="1"/>
  <c r="L8" i="1"/>
  <c r="L9" i="1" l="1"/>
  <c r="C2" i="11" l="1"/>
  <c r="C4" i="11"/>
  <c r="C7" i="11"/>
  <c r="C8" i="11"/>
  <c r="C9" i="11"/>
  <c r="C13" i="11"/>
  <c r="C14" i="11"/>
  <c r="P7" i="1"/>
  <c r="P8" i="1"/>
  <c r="T8" i="1"/>
  <c r="P12" i="1"/>
  <c r="T12" i="1"/>
  <c r="P13" i="1"/>
  <c r="T15" i="1"/>
  <c r="T17" i="1"/>
  <c r="H18" i="1"/>
  <c r="H22" i="1"/>
  <c r="H25" i="1"/>
  <c r="H29" i="1"/>
  <c r="K29" i="1"/>
  <c r="L29" i="1"/>
  <c r="H31" i="1"/>
  <c r="K31" i="1"/>
  <c r="L31" i="1"/>
  <c r="G52" i="1"/>
  <c r="H52" i="1"/>
  <c r="G54" i="1"/>
  <c r="H54" i="1"/>
  <c r="H67" i="1"/>
  <c r="H70" i="1"/>
  <c r="H72" i="1"/>
</calcChain>
</file>

<file path=xl/sharedStrings.xml><?xml version="1.0" encoding="utf-8"?>
<sst xmlns="http://schemas.openxmlformats.org/spreadsheetml/2006/main" count="318" uniqueCount="146">
  <si>
    <t>Estimated Sale Date</t>
  </si>
  <si>
    <t>Amazon Sales Proceeds (PSA) - 53 Acres</t>
  </si>
  <si>
    <t>Soft Cost Reim</t>
  </si>
  <si>
    <t>Less: KBC Broker Fee (3%)</t>
  </si>
  <si>
    <t>Less: Title</t>
  </si>
  <si>
    <t>Less: Legal</t>
  </si>
  <si>
    <t>Less: Misc. Closing Costs</t>
  </si>
  <si>
    <t>Total Net Sale Proceeds</t>
  </si>
  <si>
    <t>DUA4 Budget Summary</t>
  </si>
  <si>
    <t>Project</t>
  </si>
  <si>
    <t>Seller Allocation</t>
  </si>
  <si>
    <t>Seller %</t>
  </si>
  <si>
    <t>Purchaser Allocation</t>
  </si>
  <si>
    <t>Purchaser %</t>
  </si>
  <si>
    <t>Total</t>
  </si>
  <si>
    <t>Spirit Dr.</t>
  </si>
  <si>
    <t xml:space="preserve">Foundry Ave. </t>
  </si>
  <si>
    <t>Channel D</t>
  </si>
  <si>
    <t>Sitewide</t>
  </si>
  <si>
    <t>Released Land Size (Acres)</t>
  </si>
  <si>
    <t>Outstanding Loan Amount</t>
  </si>
  <si>
    <t>Total Collateral Size (Acres)</t>
  </si>
  <si>
    <t>250% Loan Par on Released Land</t>
  </si>
  <si>
    <t>Prosperity Loan Release</t>
  </si>
  <si>
    <t>(a) 250% Loan Par</t>
  </si>
  <si>
    <t>(b) 55% of Net Sale Proceeds</t>
  </si>
  <si>
    <t>55% of Net Sale Proceeds on Released Land</t>
  </si>
  <si>
    <t>Total Land for Sale (Acres)</t>
  </si>
  <si>
    <t>Amazon Sale 1.0</t>
  </si>
  <si>
    <t>Amazon Sale 2.0</t>
  </si>
  <si>
    <t>Adjusted Collateral Size (Acres)</t>
  </si>
  <si>
    <t>Amazon 2.0 Timeline</t>
  </si>
  <si>
    <t>Effective Date</t>
  </si>
  <si>
    <t>DD Period</t>
  </si>
  <si>
    <t>DD Ends</t>
  </si>
  <si>
    <t>DD Extension</t>
  </si>
  <si>
    <t>Initial DD Ends</t>
  </si>
  <si>
    <t>Closing</t>
  </si>
  <si>
    <t>Closing Date</t>
  </si>
  <si>
    <t>DD Ends (next business day)</t>
  </si>
  <si>
    <t>Amazon Sales Proceeds (PSA) - 25.22 Acres</t>
  </si>
  <si>
    <t>Total Loan Amount</t>
  </si>
  <si>
    <t>Loan $/SF</t>
  </si>
  <si>
    <t>Loan Status</t>
  </si>
  <si>
    <t>SUS1 Budget Summary</t>
  </si>
  <si>
    <t>Spirit Dr. (Foundry to ph. 1 plat)</t>
  </si>
  <si>
    <t>Foundry Phase 2</t>
  </si>
  <si>
    <t>Velocity Crossing &amp; Spirit Dr. Ext.</t>
  </si>
  <si>
    <t>Spirit Dr.  Ext.</t>
  </si>
  <si>
    <t>WW 84"</t>
  </si>
  <si>
    <t>Loan Amount Release - greater of (a) and (b), vs Net Sale Proceeds</t>
  </si>
  <si>
    <t>HEB Repurchase</t>
  </si>
  <si>
    <t>Estimated Repurchase Date</t>
  </si>
  <si>
    <t>Sources</t>
  </si>
  <si>
    <t>Uses</t>
  </si>
  <si>
    <t>Prosperity Loan</t>
  </si>
  <si>
    <t>Equity</t>
  </si>
  <si>
    <t>Repurchase Price</t>
  </si>
  <si>
    <t>Type</t>
  </si>
  <si>
    <t>Amount</t>
  </si>
  <si>
    <t>Date</t>
  </si>
  <si>
    <t>Days</t>
  </si>
  <si>
    <t>Year Fraction</t>
  </si>
  <si>
    <t>Repurchase Value</t>
  </si>
  <si>
    <t>Legal</t>
  </si>
  <si>
    <t>Engineering</t>
  </si>
  <si>
    <t>Environmental</t>
  </si>
  <si>
    <t>Purchase Price - 15.585 acres</t>
  </si>
  <si>
    <t>Purchase Price - 1.663 acres</t>
  </si>
  <si>
    <t>SDA Draw</t>
  </si>
  <si>
    <t>Property Tax</t>
  </si>
  <si>
    <t>Land Area</t>
  </si>
  <si>
    <t>Price/SF</t>
  </si>
  <si>
    <t>Closing Costs</t>
  </si>
  <si>
    <t>Total Sources</t>
  </si>
  <si>
    <t>Total Uses</t>
  </si>
  <si>
    <t>AMZN 1.0</t>
  </si>
  <si>
    <t>AMZN 2.0</t>
  </si>
  <si>
    <t>Cadence Bank</t>
  </si>
  <si>
    <t>Real International</t>
  </si>
  <si>
    <t>Accrual - Real International</t>
  </si>
  <si>
    <t>Texas Partners Bank</t>
  </si>
  <si>
    <t>Total Revolving LOC</t>
  </si>
  <si>
    <t>Master Planning</t>
  </si>
  <si>
    <t>Architect</t>
  </si>
  <si>
    <t>Fully Drawn Loan Balance</t>
  </si>
  <si>
    <t>Loan Basis ($/Land SF)</t>
  </si>
  <si>
    <t>Acres Required to Pay Off Loan</t>
  </si>
  <si>
    <t>Amazon Industrial Land Comp ($/SF)</t>
  </si>
  <si>
    <t>250% Loan Par Release ($/SF)</t>
  </si>
  <si>
    <t>Scenario 1</t>
  </si>
  <si>
    <t>Scenario 2</t>
  </si>
  <si>
    <t>Collateral Acreage</t>
  </si>
  <si>
    <t>Payoff Acres as % of Collateral</t>
  </si>
  <si>
    <t>Before</t>
  </si>
  <si>
    <t>After</t>
  </si>
  <si>
    <t>Loan Balance</t>
  </si>
  <si>
    <t>Collateral</t>
  </si>
  <si>
    <t>Gross Sale Proceeds</t>
  </si>
  <si>
    <t>Infrastructure Escrow - 1.0</t>
  </si>
  <si>
    <t>Uses of Gross Sale Proceeds</t>
  </si>
  <si>
    <t>Infrastructure Escrow - 2.0</t>
  </si>
  <si>
    <t>Infrastructure Costs</t>
  </si>
  <si>
    <t>Funding from Prosperity LOC</t>
  </si>
  <si>
    <t>Infrastructure Funding</t>
  </si>
  <si>
    <t>Funding from Land Partnership</t>
  </si>
  <si>
    <t>Net Cash to Partnership</t>
  </si>
  <si>
    <t>Draw #1</t>
  </si>
  <si>
    <t>Draw #3</t>
  </si>
  <si>
    <t>Draw #2</t>
  </si>
  <si>
    <t>Total Loan Draw</t>
  </si>
  <si>
    <t>Loan Status after Draw</t>
  </si>
  <si>
    <t>Loan Status after Amazon Sale 2.0</t>
  </si>
  <si>
    <t>Loan Status after Amazon Sale 1.0</t>
  </si>
  <si>
    <t>Dates</t>
  </si>
  <si>
    <t>$ Amount</t>
  </si>
  <si>
    <t>Loan Draw Schedule</t>
  </si>
  <si>
    <t>HEB Repurchase Prosperity Loan Amount</t>
  </si>
  <si>
    <t>Prosperity Revolving LOC</t>
  </si>
  <si>
    <t>Uses of Net Cash to Partnership</t>
  </si>
  <si>
    <t>Net Cash to Partnership - Amazon 1.0</t>
  </si>
  <si>
    <t>Net Cash to Partnership - Amazon 2.0</t>
  </si>
  <si>
    <t>Operating Reserves</t>
  </si>
  <si>
    <t>Interest &amp; Operating Reserve</t>
  </si>
  <si>
    <t>Preferred Unit Payments</t>
  </si>
  <si>
    <t>Prosperity Loan Paydown</t>
  </si>
  <si>
    <t>- Released Land Size (Acres)</t>
  </si>
  <si>
    <t>Loan Amount Release - greater of (a) and (b)</t>
  </si>
  <si>
    <t>Original Loan Proceeds</t>
  </si>
  <si>
    <t>Loan Paydown to Date</t>
  </si>
  <si>
    <t>Real Internationl Payoff</t>
  </si>
  <si>
    <t>Prosperity Refinance Proceeds</t>
  </si>
  <si>
    <t>Real International Loan Amount</t>
  </si>
  <si>
    <t>Current Loan Balance</t>
  </si>
  <si>
    <t>Summary</t>
  </si>
  <si>
    <t>Amazon 1.0 Paydown</t>
  </si>
  <si>
    <t>Amazon 2.0 Paydown</t>
  </si>
  <si>
    <t>Amazon 1.0 Loan Draw to Refi RI</t>
  </si>
  <si>
    <t>Amazon 2.0 Loan Draw for Infrastructure</t>
  </si>
  <si>
    <t>HEB Site Repurchase</t>
  </si>
  <si>
    <t>HEB Site LOC</t>
  </si>
  <si>
    <t>Total Prosperity Loan Amount</t>
  </si>
  <si>
    <t>Total Land Acres</t>
  </si>
  <si>
    <t>Loan Basis $/SF</t>
  </si>
  <si>
    <t>Land Market Value (Amazon 1.0)</t>
  </si>
  <si>
    <t>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</si>
</sst>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&quot;$&quot;#,##0;\(&quot;$&quot;#,##0\);&quot;-&quot;"/>
    <numFmt numFmtId="166" formatCode="&quot;$&quot;#,##0"/>
    <numFmt numFmtId="167" formatCode="0.0%"/>
    <numFmt numFmtId="168" formatCode="&quot;$&quot;#,##0.00"/>
    <numFmt numFmtId="169" formatCode="#\ &quot;days&quot;"/>
    <numFmt numFmtId="170" formatCode="yyyy\-mm\-dd;@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sz val="11"/>
      <color theme="1"/>
      <name val="Aptos Narrow"/>
      <family val="2"/>
      <scheme val="minor"/>
    </font>
    <font>
      <b/>
      <sz val="14"/>
      <color rgb="FF1F3864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8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</font>
    <font>
      <b/>
      <sz val="14"/>
      <color rgb="FF0070C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B4C6E7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double">
        <color rgb="FF1F38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1" applyFont="1" applyAlignment="1">
      <alignment horizontal="right"/>
    </xf>
    <xf numFmtId="0" fontId="1" fillId="0" borderId="4" xfId="1" applyFont="1" applyBorder="1"/>
    <xf numFmtId="0" fontId="1" fillId="0" borderId="5" xfId="1" applyFont="1" applyBorder="1" applyAlignment="1">
      <alignment horizontal="right"/>
    </xf>
    <xf numFmtId="0" fontId="1" fillId="0" borderId="4" xfId="2" applyBorder="1"/>
    <xf numFmtId="0" fontId="1" fillId="0" borderId="0" xfId="2" applyAlignment="1">
      <alignment horizontal="right"/>
    </xf>
    <xf numFmtId="9" fontId="1" fillId="0" borderId="4" xfId="2" applyNumberFormat="1" applyBorder="1"/>
    <xf numFmtId="9" fontId="1" fillId="0" borderId="0" xfId="2" applyNumberFormat="1" applyAlignment="1">
      <alignment horizontal="right"/>
    </xf>
    <xf numFmtId="0" fontId="6" fillId="0" borderId="4" xfId="2" applyFont="1" applyBorder="1"/>
    <xf numFmtId="165" fontId="7" fillId="0" borderId="5" xfId="2" applyNumberFormat="1" applyFont="1" applyBorder="1" applyAlignment="1">
      <alignment horizontal="right"/>
    </xf>
    <xf numFmtId="0" fontId="9" fillId="3" borderId="0" xfId="3" applyFont="1" applyFill="1"/>
    <xf numFmtId="0" fontId="1" fillId="0" borderId="0" xfId="3" applyFont="1" applyAlignment="1">
      <alignment horizontal="right"/>
    </xf>
    <xf numFmtId="0" fontId="1" fillId="0" borderId="0" xfId="3" applyFont="1"/>
    <xf numFmtId="0" fontId="4" fillId="4" borderId="6" xfId="3" applyFont="1" applyFill="1" applyBorder="1" applyAlignment="1">
      <alignment horizontal="left"/>
    </xf>
    <xf numFmtId="49" fontId="4" fillId="4" borderId="6" xfId="3" applyNumberFormat="1" applyFont="1" applyFill="1" applyBorder="1" applyAlignment="1">
      <alignment horizontal="right"/>
    </xf>
    <xf numFmtId="0" fontId="4" fillId="4" borderId="6" xfId="3" applyFont="1" applyFill="1" applyBorder="1" applyAlignment="1">
      <alignment horizontal="right"/>
    </xf>
    <xf numFmtId="0" fontId="10" fillId="2" borderId="7" xfId="3" applyFont="1" applyFill="1" applyBorder="1"/>
    <xf numFmtId="166" fontId="10" fillId="2" borderId="7" xfId="3" applyNumberFormat="1" applyFont="1" applyFill="1" applyBorder="1" applyAlignment="1">
      <alignment horizontal="right"/>
    </xf>
    <xf numFmtId="167" fontId="10" fillId="2" borderId="7" xfId="3" applyNumberFormat="1" applyFont="1" applyFill="1" applyBorder="1" applyAlignment="1">
      <alignment horizontal="right"/>
    </xf>
    <xf numFmtId="0" fontId="10" fillId="3" borderId="0" xfId="3" applyFont="1" applyFill="1"/>
    <xf numFmtId="166" fontId="10" fillId="3" borderId="0" xfId="3" applyNumberFormat="1" applyFont="1" applyFill="1" applyAlignment="1">
      <alignment horizontal="right"/>
    </xf>
    <xf numFmtId="167" fontId="10" fillId="3" borderId="0" xfId="3" applyNumberFormat="1" applyFont="1" applyFill="1" applyAlignment="1">
      <alignment horizontal="right"/>
    </xf>
    <xf numFmtId="0" fontId="10" fillId="3" borderId="8" xfId="3" applyFont="1" applyFill="1" applyBorder="1"/>
    <xf numFmtId="166" fontId="10" fillId="3" borderId="8" xfId="3" applyNumberFormat="1" applyFont="1" applyFill="1" applyBorder="1" applyAlignment="1">
      <alignment horizontal="right"/>
    </xf>
    <xf numFmtId="167" fontId="10" fillId="3" borderId="8" xfId="3" applyNumberFormat="1" applyFont="1" applyFill="1" applyBorder="1" applyAlignment="1">
      <alignment horizontal="right"/>
    </xf>
    <xf numFmtId="0" fontId="11" fillId="3" borderId="9" xfId="3" applyFont="1" applyFill="1" applyBorder="1"/>
    <xf numFmtId="166" fontId="11" fillId="3" borderId="9" xfId="3" applyNumberFormat="1" applyFont="1" applyFill="1" applyBorder="1" applyAlignment="1">
      <alignment horizontal="right"/>
    </xf>
    <xf numFmtId="167" fontId="11" fillId="3" borderId="9" xfId="3" applyNumberFormat="1" applyFont="1" applyFill="1" applyBorder="1" applyAlignment="1">
      <alignment horizontal="right"/>
    </xf>
    <xf numFmtId="167" fontId="1" fillId="0" borderId="0" xfId="3" applyNumberFormat="1" applyFont="1" applyAlignment="1">
      <alignment horizontal="right"/>
    </xf>
    <xf numFmtId="0" fontId="0" fillId="0" borderId="19" xfId="0" applyBorder="1"/>
    <xf numFmtId="0" fontId="2" fillId="2" borderId="10" xfId="2" applyFont="1" applyFill="1" applyBorder="1"/>
    <xf numFmtId="0" fontId="2" fillId="2" borderId="17" xfId="2" applyFont="1" applyFill="1" applyBorder="1" applyAlignment="1">
      <alignment horizontal="right"/>
    </xf>
    <xf numFmtId="0" fontId="2" fillId="2" borderId="11" xfId="2" applyFont="1" applyFill="1" applyBorder="1" applyAlignment="1">
      <alignment horizontal="right"/>
    </xf>
    <xf numFmtId="0" fontId="2" fillId="0" borderId="12" xfId="0" applyFont="1" applyBorder="1"/>
    <xf numFmtId="0" fontId="0" fillId="0" borderId="13" xfId="0" applyBorder="1"/>
    <xf numFmtId="0" fontId="0" fillId="0" borderId="12" xfId="0" applyBorder="1"/>
    <xf numFmtId="0" fontId="0" fillId="0" borderId="18" xfId="0" applyBorder="1"/>
    <xf numFmtId="168" fontId="0" fillId="0" borderId="13" xfId="0" applyNumberFormat="1" applyBorder="1"/>
    <xf numFmtId="8" fontId="0" fillId="0" borderId="12" xfId="0" applyNumberFormat="1" applyBorder="1"/>
    <xf numFmtId="0" fontId="7" fillId="0" borderId="13" xfId="0" applyFont="1" applyBorder="1"/>
    <xf numFmtId="166" fontId="0" fillId="0" borderId="13" xfId="0" applyNumberFormat="1" applyBorder="1"/>
    <xf numFmtId="165" fontId="0" fillId="0" borderId="13" xfId="0" applyNumberFormat="1" applyBorder="1"/>
    <xf numFmtId="0" fontId="2" fillId="7" borderId="14" xfId="0" applyFont="1" applyFill="1" applyBorder="1"/>
    <xf numFmtId="0" fontId="2" fillId="7" borderId="16" xfId="0" applyFont="1" applyFill="1" applyBorder="1"/>
    <xf numFmtId="9" fontId="7" fillId="0" borderId="0" xfId="0" applyNumberFormat="1" applyFont="1"/>
    <xf numFmtId="14" fontId="0" fillId="0" borderId="13" xfId="0" applyNumberFormat="1" applyBorder="1"/>
    <xf numFmtId="169" fontId="0" fillId="0" borderId="13" xfId="0" applyNumberFormat="1" applyBorder="1"/>
    <xf numFmtId="0" fontId="2" fillId="0" borderId="18" xfId="0" applyFont="1" applyBorder="1"/>
    <xf numFmtId="0" fontId="2" fillId="0" borderId="19" xfId="0" applyFont="1" applyBorder="1"/>
    <xf numFmtId="14" fontId="2" fillId="0" borderId="20" xfId="0" applyNumberFormat="1" applyFont="1" applyBorder="1"/>
    <xf numFmtId="0" fontId="2" fillId="0" borderId="0" xfId="0" applyFont="1"/>
    <xf numFmtId="14" fontId="2" fillId="0" borderId="13" xfId="0" applyNumberFormat="1" applyFont="1" applyBorder="1"/>
    <xf numFmtId="2" fontId="0" fillId="0" borderId="13" xfId="0" applyNumberFormat="1" applyBorder="1"/>
    <xf numFmtId="168" fontId="0" fillId="0" borderId="20" xfId="0" applyNumberFormat="1" applyBorder="1"/>
    <xf numFmtId="0" fontId="2" fillId="6" borderId="10" xfId="0" applyFont="1" applyFill="1" applyBorder="1"/>
    <xf numFmtId="0" fontId="2" fillId="6" borderId="17" xfId="0" applyFont="1" applyFill="1" applyBorder="1"/>
    <xf numFmtId="0" fontId="2" fillId="6" borderId="11" xfId="0" applyFont="1" applyFill="1" applyBorder="1"/>
    <xf numFmtId="49" fontId="4" fillId="4" borderId="0" xfId="3" applyNumberFormat="1" applyFont="1" applyFill="1" applyAlignment="1">
      <alignment horizontal="right"/>
    </xf>
    <xf numFmtId="0" fontId="4" fillId="4" borderId="0" xfId="3" applyFont="1" applyFill="1" applyAlignment="1">
      <alignment horizontal="right"/>
    </xf>
    <xf numFmtId="166" fontId="10" fillId="0" borderId="0" xfId="3" applyNumberFormat="1" applyFont="1" applyAlignment="1">
      <alignment horizontal="right"/>
    </xf>
    <xf numFmtId="167" fontId="10" fillId="0" borderId="0" xfId="3" applyNumberFormat="1" applyFont="1" applyAlignment="1">
      <alignment horizontal="right"/>
    </xf>
    <xf numFmtId="44" fontId="1" fillId="0" borderId="0" xfId="4" applyFont="1"/>
    <xf numFmtId="166" fontId="10" fillId="0" borderId="19" xfId="3" applyNumberFormat="1" applyFont="1" applyBorder="1" applyAlignment="1">
      <alignment horizontal="right"/>
    </xf>
    <xf numFmtId="167" fontId="10" fillId="0" borderId="19" xfId="3" applyNumberFormat="1" applyFont="1" applyBorder="1" applyAlignment="1">
      <alignment horizontal="right"/>
    </xf>
    <xf numFmtId="166" fontId="11" fillId="0" borderId="9" xfId="3" applyNumberFormat="1" applyFont="1" applyBorder="1" applyAlignment="1">
      <alignment horizontal="right"/>
    </xf>
    <xf numFmtId="4" fontId="1" fillId="0" borderId="0" xfId="3" applyNumberFormat="1" applyFont="1"/>
    <xf numFmtId="0" fontId="1" fillId="0" borderId="12" xfId="1" applyFont="1" applyBorder="1"/>
    <xf numFmtId="164" fontId="7" fillId="0" borderId="13" xfId="1" applyNumberFormat="1" applyFont="1" applyBorder="1" applyAlignment="1">
      <alignment horizontal="right"/>
    </xf>
    <xf numFmtId="0" fontId="1" fillId="0" borderId="13" xfId="1" applyFont="1" applyBorder="1" applyAlignment="1">
      <alignment horizontal="right"/>
    </xf>
    <xf numFmtId="165" fontId="7" fillId="0" borderId="13" xfId="2" applyNumberFormat="1" applyFont="1" applyBorder="1" applyAlignment="1">
      <alignment horizontal="right"/>
    </xf>
    <xf numFmtId="0" fontId="15" fillId="0" borderId="21" xfId="6" applyFont="1" applyBorder="1"/>
    <xf numFmtId="14" fontId="15" fillId="0" borderId="22" xfId="6" applyNumberFormat="1" applyFont="1" applyBorder="1"/>
    <xf numFmtId="0" fontId="16" fillId="0" borderId="0" xfId="6" applyFont="1"/>
    <xf numFmtId="0" fontId="15" fillId="11" borderId="23" xfId="6" applyFont="1" applyFill="1" applyBorder="1"/>
    <xf numFmtId="14" fontId="15" fillId="11" borderId="0" xfId="6" applyNumberFormat="1" applyFont="1" applyFill="1"/>
    <xf numFmtId="0" fontId="16" fillId="11" borderId="0" xfId="6" applyFont="1" applyFill="1"/>
    <xf numFmtId="0" fontId="16" fillId="0" borderId="23" xfId="6" applyFont="1" applyBorder="1"/>
    <xf numFmtId="44" fontId="18" fillId="0" borderId="23" xfId="7" applyFont="1" applyFill="1" applyBorder="1"/>
    <xf numFmtId="170" fontId="18" fillId="0" borderId="23" xfId="8" applyNumberFormat="1" applyFont="1" applyBorder="1"/>
    <xf numFmtId="170" fontId="16" fillId="0" borderId="0" xfId="6" applyNumberFormat="1" applyFont="1"/>
    <xf numFmtId="44" fontId="16" fillId="0" borderId="23" xfId="6" applyNumberFormat="1" applyFont="1" applyBorder="1"/>
    <xf numFmtId="44" fontId="16" fillId="0" borderId="23" xfId="7" applyFont="1" applyBorder="1"/>
    <xf numFmtId="170" fontId="16" fillId="0" borderId="23" xfId="6" applyNumberFormat="1" applyFont="1" applyBorder="1"/>
    <xf numFmtId="44" fontId="16" fillId="0" borderId="23" xfId="7" applyFont="1" applyFill="1" applyBorder="1"/>
    <xf numFmtId="44" fontId="16" fillId="0" borderId="24" xfId="7" applyFont="1" applyFill="1" applyBorder="1"/>
    <xf numFmtId="170" fontId="16" fillId="0" borderId="24" xfId="6" applyNumberFormat="1" applyFont="1" applyBorder="1"/>
    <xf numFmtId="44" fontId="16" fillId="0" borderId="24" xfId="6" applyNumberFormat="1" applyFont="1" applyBorder="1"/>
    <xf numFmtId="43" fontId="19" fillId="0" borderId="23" xfId="9" applyFont="1" applyBorder="1"/>
    <xf numFmtId="0" fontId="15" fillId="0" borderId="0" xfId="6" applyFont="1"/>
    <xf numFmtId="44" fontId="15" fillId="0" borderId="0" xfId="6" applyNumberFormat="1" applyFont="1"/>
    <xf numFmtId="43" fontId="15" fillId="0" borderId="0" xfId="9" applyFont="1"/>
    <xf numFmtId="0" fontId="20" fillId="0" borderId="12" xfId="0" applyFont="1" applyBorder="1"/>
    <xf numFmtId="0" fontId="21" fillId="0" borderId="0" xfId="0" applyFont="1"/>
    <xf numFmtId="4" fontId="0" fillId="0" borderId="13" xfId="0" applyNumberFormat="1" applyBorder="1"/>
    <xf numFmtId="0" fontId="1" fillId="0" borderId="18" xfId="1" applyFont="1" applyBorder="1"/>
    <xf numFmtId="166" fontId="0" fillId="0" borderId="20" xfId="0" applyNumberFormat="1" applyBorder="1"/>
    <xf numFmtId="166" fontId="7" fillId="0" borderId="13" xfId="0" applyNumberFormat="1" applyFont="1" applyBorder="1"/>
    <xf numFmtId="166" fontId="2" fillId="0" borderId="20" xfId="0" applyNumberFormat="1" applyFont="1" applyBorder="1"/>
    <xf numFmtId="165" fontId="6" fillId="0" borderId="5" xfId="2" applyNumberFormat="1" applyFont="1" applyBorder="1" applyAlignment="1">
      <alignment horizontal="right"/>
    </xf>
    <xf numFmtId="168" fontId="0" fillId="0" borderId="0" xfId="0" applyNumberFormat="1"/>
    <xf numFmtId="0" fontId="0" fillId="0" borderId="12" xfId="0" applyBorder="1" applyAlignment="1">
      <alignment horizontal="left" indent="2"/>
    </xf>
    <xf numFmtId="0" fontId="4" fillId="4" borderId="0" xfId="0" applyFont="1" applyFill="1" applyAlignment="1">
      <alignment horizontal="left"/>
    </xf>
    <xf numFmtId="0" fontId="12" fillId="8" borderId="0" xfId="0" applyFont="1" applyFill="1"/>
    <xf numFmtId="0" fontId="13" fillId="10" borderId="0" xfId="0" applyFont="1" applyFill="1"/>
    <xf numFmtId="0" fontId="12" fillId="9" borderId="0" xfId="0" applyFont="1" applyFill="1"/>
    <xf numFmtId="0" fontId="22" fillId="12" borderId="0" xfId="0" applyFont="1" applyFill="1"/>
    <xf numFmtId="0" fontId="13" fillId="5" borderId="0" xfId="0" applyFont="1" applyFill="1"/>
    <xf numFmtId="0" fontId="13" fillId="0" borderId="19" xfId="0" applyFont="1" applyBorder="1"/>
    <xf numFmtId="0" fontId="11" fillId="3" borderId="9" xfId="0" applyFont="1" applyFill="1" applyBorder="1"/>
    <xf numFmtId="4" fontId="0" fillId="0" borderId="0" xfId="0" applyNumberFormat="1"/>
    <xf numFmtId="0" fontId="0" fillId="0" borderId="10" xfId="0" applyBorder="1"/>
    <xf numFmtId="166" fontId="0" fillId="0" borderId="11" xfId="0" applyNumberFormat="1" applyBorder="1"/>
    <xf numFmtId="3" fontId="0" fillId="0" borderId="13" xfId="0" applyNumberFormat="1" applyBorder="1"/>
    <xf numFmtId="9" fontId="0" fillId="0" borderId="13" xfId="0" applyNumberFormat="1" applyBorder="1"/>
    <xf numFmtId="9" fontId="0" fillId="0" borderId="20" xfId="0" applyNumberFormat="1" applyBorder="1"/>
    <xf numFmtId="166" fontId="6" fillId="2" borderId="7" xfId="3" applyNumberFormat="1" applyFont="1" applyFill="1" applyBorder="1" applyAlignment="1">
      <alignment horizontal="right"/>
    </xf>
    <xf numFmtId="165" fontId="2" fillId="7" borderId="15" xfId="0" applyNumberFormat="1" applyFont="1" applyFill="1" applyBorder="1"/>
    <xf numFmtId="166" fontId="7" fillId="0" borderId="20" xfId="0" applyNumberFormat="1" applyFont="1" applyBorder="1"/>
    <xf numFmtId="0" fontId="6" fillId="0" borderId="0" xfId="2" applyFont="1"/>
    <xf numFmtId="0" fontId="6" fillId="0" borderId="0" xfId="1" applyFont="1" applyAlignment="1">
      <alignment horizontal="right"/>
    </xf>
    <xf numFmtId="165" fontId="5" fillId="0" borderId="0" xfId="2" applyNumberFormat="1" applyFont="1" applyAlignment="1">
      <alignment horizontal="right"/>
    </xf>
    <xf numFmtId="4" fontId="7" fillId="0" borderId="0" xfId="0" applyNumberFormat="1" applyFont="1"/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4" fontId="7" fillId="0" borderId="13" xfId="0" applyNumberFormat="1" applyFont="1" applyBorder="1"/>
    <xf numFmtId="168" fontId="0" fillId="0" borderId="19" xfId="0" applyNumberFormat="1" applyBorder="1"/>
    <xf numFmtId="0" fontId="1" fillId="0" borderId="12" xfId="2" applyBorder="1"/>
    <xf numFmtId="165" fontId="6" fillId="0" borderId="13" xfId="2" applyNumberFormat="1" applyFont="1" applyBorder="1" applyAlignment="1">
      <alignment horizontal="right"/>
    </xf>
    <xf numFmtId="9" fontId="1" fillId="0" borderId="12" xfId="2" applyNumberFormat="1" applyBorder="1"/>
    <xf numFmtId="4" fontId="6" fillId="0" borderId="0" xfId="0" applyNumberFormat="1" applyFont="1"/>
    <xf numFmtId="0" fontId="2" fillId="13" borderId="1" xfId="2" applyFont="1" applyFill="1" applyBorder="1"/>
    <xf numFmtId="0" fontId="2" fillId="13" borderId="2" xfId="2" applyFont="1" applyFill="1" applyBorder="1" applyAlignment="1">
      <alignment horizontal="right"/>
    </xf>
    <xf numFmtId="0" fontId="2" fillId="13" borderId="3" xfId="2" applyFont="1" applyFill="1" applyBorder="1" applyAlignment="1">
      <alignment horizontal="right"/>
    </xf>
    <xf numFmtId="0" fontId="2" fillId="13" borderId="10" xfId="2" applyFont="1" applyFill="1" applyBorder="1"/>
    <xf numFmtId="0" fontId="2" fillId="13" borderId="17" xfId="2" applyFont="1" applyFill="1" applyBorder="1" applyAlignment="1">
      <alignment horizontal="right"/>
    </xf>
    <xf numFmtId="0" fontId="2" fillId="13" borderId="11" xfId="2" applyFont="1" applyFill="1" applyBorder="1" applyAlignment="1">
      <alignment horizontal="right"/>
    </xf>
    <xf numFmtId="0" fontId="2" fillId="13" borderId="10" xfId="0" applyFont="1" applyFill="1" applyBorder="1"/>
    <xf numFmtId="0" fontId="0" fillId="13" borderId="17" xfId="0" applyFill="1" applyBorder="1"/>
    <xf numFmtId="0" fontId="0" fillId="13" borderId="11" xfId="0" applyFill="1" applyBorder="1"/>
    <xf numFmtId="0" fontId="2" fillId="13" borderId="17" xfId="0" applyFont="1" applyFill="1" applyBorder="1"/>
    <xf numFmtId="0" fontId="2" fillId="13" borderId="11" xfId="0" applyFont="1" applyFill="1" applyBorder="1"/>
    <xf numFmtId="0" fontId="0" fillId="0" borderId="18" xfId="0" applyBorder="1" applyAlignment="1">
      <alignment horizontal="left" indent="2"/>
    </xf>
    <xf numFmtId="0" fontId="0" fillId="0" borderId="17" xfId="0" applyBorder="1"/>
    <xf numFmtId="0" fontId="0" fillId="0" borderId="11" xfId="0" applyBorder="1"/>
    <xf numFmtId="0" fontId="2" fillId="0" borderId="14" xfId="2" applyFont="1" applyBorder="1"/>
    <xf numFmtId="0" fontId="2" fillId="0" borderId="16" xfId="2" applyFont="1" applyBorder="1" applyAlignment="1">
      <alignment horizontal="right"/>
    </xf>
    <xf numFmtId="165" fontId="2" fillId="0" borderId="15" xfId="2" applyNumberFormat="1" applyFont="1" applyBorder="1" applyAlignment="1">
      <alignment horizontal="right"/>
    </xf>
    <xf numFmtId="0" fontId="2" fillId="0" borderId="18" xfId="1" applyFont="1" applyBorder="1"/>
    <xf numFmtId="165" fontId="2" fillId="0" borderId="19" xfId="0" applyNumberFormat="1" applyFont="1" applyBorder="1"/>
    <xf numFmtId="0" fontId="2" fillId="0" borderId="14" xfId="0" applyFont="1" applyBorder="1"/>
    <xf numFmtId="0" fontId="2" fillId="0" borderId="16" xfId="0" applyFont="1" applyBorder="1"/>
    <xf numFmtId="166" fontId="2" fillId="0" borderId="15" xfId="0" applyNumberFormat="1" applyFont="1" applyBorder="1"/>
    <xf numFmtId="166" fontId="2" fillId="0" borderId="0" xfId="0" applyNumberFormat="1" applyFont="1"/>
    <xf numFmtId="166" fontId="2" fillId="0" borderId="13" xfId="0" applyNumberFormat="1" applyFont="1" applyBorder="1"/>
    <xf numFmtId="14" fontId="5" fillId="0" borderId="0" xfId="0" applyNumberFormat="1" applyFont="1" applyAlignment="1">
      <alignment horizontal="right"/>
    </xf>
    <xf numFmtId="3" fontId="7" fillId="0" borderId="0" xfId="0" applyNumberFormat="1" applyFont="1"/>
    <xf numFmtId="0" fontId="0" fillId="0" borderId="16" xfId="0" applyBorder="1"/>
    <xf numFmtId="168" fontId="0" fillId="0" borderId="16" xfId="0" applyNumberFormat="1" applyBorder="1"/>
    <xf numFmtId="14" fontId="5" fillId="0" borderId="19" xfId="0" applyNumberFormat="1" applyFont="1" applyBorder="1" applyAlignment="1">
      <alignment horizontal="right"/>
    </xf>
    <xf numFmtId="4" fontId="6" fillId="0" borderId="13" xfId="0" applyNumberFormat="1" applyFont="1" applyBorder="1"/>
    <xf numFmtId="4" fontId="23" fillId="0" borderId="19" xfId="0" applyNumberFormat="1" applyFont="1" applyBorder="1"/>
    <xf numFmtId="166" fontId="23" fillId="0" borderId="20" xfId="0" applyNumberFormat="1" applyFont="1" applyBorder="1"/>
    <xf numFmtId="165" fontId="1" fillId="0" borderId="13" xfId="1" applyNumberFormat="1" applyFont="1" applyBorder="1" applyAlignment="1">
      <alignment horizontal="right"/>
    </xf>
    <xf numFmtId="0" fontId="20" fillId="0" borderId="12" xfId="1" applyFont="1" applyBorder="1"/>
    <xf numFmtId="0" fontId="1" fillId="0" borderId="19" xfId="2" applyBorder="1" applyAlignment="1">
      <alignment horizontal="right"/>
    </xf>
    <xf numFmtId="165" fontId="1" fillId="0" borderId="20" xfId="1" applyNumberFormat="1" applyFont="1" applyBorder="1" applyAlignment="1">
      <alignment horizontal="right"/>
    </xf>
    <xf numFmtId="166" fontId="5" fillId="0" borderId="20" xfId="0" applyNumberFormat="1" applyFont="1" applyBorder="1"/>
    <xf numFmtId="165" fontId="5" fillId="0" borderId="13" xfId="2" applyNumberFormat="1" applyFont="1" applyBorder="1" applyAlignment="1">
      <alignment horizontal="right"/>
    </xf>
    <xf numFmtId="0" fontId="2" fillId="0" borderId="12" xfId="2" applyFont="1" applyBorder="1"/>
    <xf numFmtId="0" fontId="2" fillId="0" borderId="0" xfId="1" applyFont="1" applyAlignment="1">
      <alignment horizontal="right"/>
    </xf>
    <xf numFmtId="165" fontId="23" fillId="0" borderId="13" xfId="2" applyNumberFormat="1" applyFont="1" applyBorder="1" applyAlignment="1">
      <alignment horizontal="right"/>
    </xf>
    <xf numFmtId="165" fontId="2" fillId="0" borderId="20" xfId="0" applyNumberFormat="1" applyFont="1" applyBorder="1"/>
    <xf numFmtId="167" fontId="7" fillId="0" borderId="0" xfId="0" applyNumberFormat="1" applyFont="1"/>
    <xf numFmtId="10" fontId="7" fillId="0" borderId="0" xfId="0" applyNumberFormat="1" applyFont="1"/>
    <xf numFmtId="165" fontId="7" fillId="0" borderId="20" xfId="2" applyNumberFormat="1" applyFont="1" applyBorder="1" applyAlignment="1">
      <alignment horizontal="right"/>
    </xf>
    <xf numFmtId="164" fontId="5" fillId="0" borderId="5" xfId="1" applyNumberFormat="1" applyFont="1" applyBorder="1" applyAlignment="1">
      <alignment horizontal="right"/>
    </xf>
    <xf numFmtId="166" fontId="6" fillId="3" borderId="0" xfId="3" applyNumberFormat="1" applyFont="1" applyFill="1" applyAlignment="1">
      <alignment horizontal="right"/>
    </xf>
    <xf numFmtId="166" fontId="6" fillId="3" borderId="8" xfId="3" applyNumberFormat="1" applyFont="1" applyFill="1" applyBorder="1" applyAlignment="1">
      <alignment horizontal="right"/>
    </xf>
    <xf numFmtId="166" fontId="6" fillId="0" borderId="0" xfId="3" applyNumberFormat="1" applyFont="1" applyAlignment="1">
      <alignment horizontal="right"/>
    </xf>
    <xf numFmtId="166" fontId="6" fillId="0" borderId="19" xfId="3" applyNumberFormat="1" applyFont="1" applyBorder="1" applyAlignment="1">
      <alignment horizontal="right"/>
    </xf>
    <xf numFmtId="0" fontId="0" fillId="0" borderId="12" xfId="0" quotePrefix="1" applyBorder="1"/>
    <xf numFmtId="166" fontId="2" fillId="7" borderId="15" xfId="0" applyNumberFormat="1" applyFont="1" applyFill="1" applyBorder="1"/>
    <xf numFmtId="166" fontId="0" fillId="0" borderId="13" xfId="0" applyNumberFormat="1" applyBorder="1" applyAlignment="1">
      <alignment horizontal="right"/>
    </xf>
    <xf numFmtId="166" fontId="0" fillId="0" borderId="0" xfId="0" applyNumberFormat="1"/>
    <xf numFmtId="0" fontId="0" fillId="0" borderId="0" xfId="0" applyBorder="1"/>
    <xf numFmtId="165" fontId="0" fillId="0" borderId="20" xfId="0" applyNumberFormat="1" applyBorder="1"/>
    <xf numFmtId="0" fontId="0" fillId="0" borderId="25" xfId="0" applyBorder="1"/>
    <xf numFmtId="0" fontId="0" fillId="0" borderId="26" xfId="0" applyBorder="1"/>
    <xf numFmtId="166" fontId="0" fillId="0" borderId="27" xfId="0" applyNumberFormat="1" applyBorder="1"/>
    <xf numFmtId="0" fontId="0" fillId="0" borderId="28" xfId="0" applyBorder="1"/>
    <xf numFmtId="0" fontId="0" fillId="0" borderId="29" xfId="0" applyBorder="1"/>
    <xf numFmtId="166" fontId="0" fillId="0" borderId="30" xfId="0" applyNumberFormat="1" applyBorder="1"/>
    <xf numFmtId="167" fontId="2" fillId="0" borderId="20" xfId="0" applyNumberFormat="1" applyFont="1" applyBorder="1"/>
  </cellXfs>
  <cellStyles count="10">
    <cellStyle name="Comma 2" xfId="9" xr:uid="{6D310AE3-1AD2-441D-ABD8-9F5DAE1B2EF2}"/>
    <cellStyle name="Currency 2" xfId="4" xr:uid="{CC0EB4F1-9D03-41B6-A13B-CFBB29FAA23A}"/>
    <cellStyle name="Currency 3" xfId="7" xr:uid="{E2C7263E-D3F1-4C53-8F1F-9FBC45DC6C4B}"/>
    <cellStyle name="Normal" xfId="0" builtinId="0"/>
    <cellStyle name="Normal 2" xfId="1" xr:uid="{0806411C-D9F1-4E89-8961-4575CF4F822C}"/>
    <cellStyle name="Normal 2 2" xfId="6" xr:uid="{377827DB-8BBF-4C8A-8863-DC360CAC52E5}"/>
    <cellStyle name="Normal 3" xfId="2" xr:uid="{E9F9FBF5-4762-4568-8762-C436D2EC47B4}"/>
    <cellStyle name="Normal 4" xfId="3" xr:uid="{760820CD-B3EF-4177-9206-B0C9C75AC581}"/>
    <cellStyle name="Normal 5" xfId="8" xr:uid="{75791830-E309-4DB2-9BD9-15CD33002F1B}"/>
    <cellStyle name="Percent 2" xfId="5" xr:uid="{26AC0590-26A0-4AA0-BC19-610AAA101DBA}"/>
  </cellStyles>
  <dxfs count="0"/>
  <tableStyles count="0" defaultTableStyle="TableStyleMedium2" defaultPivotStyle="PivotStyleLight16"/>
  <colors>
    <mruColors>
      <color rgb="FFEEDFC0"/>
      <color rgb="FFD4AE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190500</xdr:rowOff>
    </xdr:from>
    <xdr:to>
      <xdr:col>6</xdr:col>
      <xdr:colOff>877956</xdr:colOff>
      <xdr:row>35</xdr:row>
      <xdr:rowOff>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35173-C469-41C6-B394-39D303477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8" y="1690688"/>
          <a:ext cx="7550218" cy="4702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277813</xdr:colOff>
      <xdr:row>9</xdr:row>
      <xdr:rowOff>174095</xdr:rowOff>
    </xdr:from>
    <xdr:to>
      <xdr:col>6</xdr:col>
      <xdr:colOff>1048858</xdr:colOff>
      <xdr:row>35</xdr:row>
      <xdr:rowOff>56470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0191DC-D408-4A3E-A536-24675398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988" y="1855258"/>
          <a:ext cx="7643861" cy="4584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residiu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0C0"/>
      </a:accent1>
      <a:accent2>
        <a:srgbClr val="16365C"/>
      </a:accent2>
      <a:accent3>
        <a:srgbClr val="BFBFBF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EEAC-BCF8-4681-BA6B-42F25819FE8B}">
  <dimension ref="B2:T82"/>
  <sheetViews>
    <sheetView showGridLines="0" tabSelected="1" zoomScale="55" zoomScaleNormal="55" workbookViewId="0">
      <selection activeCell="R23" sqref="R23"/>
    </sheetView>
  </sheetViews>
  <sheetFormatPr defaultRowHeight="15" customHeight="1" x14ac:dyDescent="0.5"/>
  <cols>
    <col min="1" max="1" width="3.5859375" customWidth="1"/>
    <col min="2" max="2" width="29.703125" customWidth="1"/>
    <col min="3" max="4" width="15.5859375" customWidth="1"/>
    <col min="5" max="5" width="5.5859375" customWidth="1"/>
    <col min="6" max="6" width="36.234375" customWidth="1"/>
    <col min="7" max="8" width="15.5859375" customWidth="1"/>
    <col min="9" max="9" width="5.5859375" customWidth="1"/>
    <col min="10" max="10" width="35.05859375" customWidth="1"/>
    <col min="11" max="12" width="15.5859375" customWidth="1"/>
    <col min="13" max="13" width="5.5859375" customWidth="1"/>
    <col min="14" max="14" width="35.05859375" customWidth="1"/>
    <col min="15" max="16" width="15.5859375" customWidth="1"/>
    <col min="17" max="17" width="5.5859375" customWidth="1"/>
    <col min="18" max="18" width="35.05859375" customWidth="1"/>
    <col min="19" max="20" width="15.5859375" customWidth="1"/>
  </cols>
  <sheetData>
    <row r="2" spans="2:20" ht="15" customHeight="1" x14ac:dyDescent="0.6">
      <c r="B2" s="92" t="s">
        <v>76</v>
      </c>
      <c r="F2" s="92" t="s">
        <v>77</v>
      </c>
      <c r="J2" s="92" t="s">
        <v>51</v>
      </c>
      <c r="N2" s="92" t="s">
        <v>119</v>
      </c>
      <c r="R2" s="92" t="s">
        <v>134</v>
      </c>
    </row>
    <row r="4" spans="2:20" ht="15" customHeight="1" x14ac:dyDescent="0.5">
      <c r="B4" s="130" t="s">
        <v>28</v>
      </c>
      <c r="C4" s="131"/>
      <c r="D4" s="132"/>
      <c r="F4" s="133" t="s">
        <v>29</v>
      </c>
      <c r="G4" s="134"/>
      <c r="H4" s="135"/>
      <c r="J4" s="30" t="s">
        <v>51</v>
      </c>
      <c r="K4" s="31"/>
      <c r="L4" s="32"/>
      <c r="N4" s="133" t="s">
        <v>29</v>
      </c>
      <c r="O4" s="134"/>
      <c r="P4" s="135"/>
      <c r="R4" s="133" t="s">
        <v>55</v>
      </c>
      <c r="S4" s="134"/>
      <c r="T4" s="135"/>
    </row>
    <row r="5" spans="2:20" ht="15" customHeight="1" x14ac:dyDescent="0.5">
      <c r="B5" s="2" t="s">
        <v>0</v>
      </c>
      <c r="C5" s="1"/>
      <c r="D5" s="175">
        <v>46289</v>
      </c>
      <c r="F5" s="66" t="s">
        <v>0</v>
      </c>
      <c r="G5" s="1"/>
      <c r="H5" s="67">
        <f>H82</f>
        <v>46351</v>
      </c>
      <c r="J5" s="66" t="s">
        <v>52</v>
      </c>
      <c r="K5" s="1"/>
      <c r="L5" s="67">
        <v>46387</v>
      </c>
      <c r="N5" s="163" t="s">
        <v>53</v>
      </c>
      <c r="O5" s="1"/>
      <c r="P5" s="67"/>
      <c r="R5" s="35" t="s">
        <v>133</v>
      </c>
      <c r="S5" s="184"/>
      <c r="T5" s="40">
        <f>D31</f>
        <v>11613112.120000001</v>
      </c>
    </row>
    <row r="6" spans="2:20" ht="15" customHeight="1" x14ac:dyDescent="0.5">
      <c r="B6" s="2"/>
      <c r="C6" s="1"/>
      <c r="D6" s="3"/>
      <c r="F6" s="66"/>
      <c r="G6" s="1"/>
      <c r="H6" s="68"/>
      <c r="J6" s="91" t="s">
        <v>53</v>
      </c>
      <c r="L6" s="34"/>
      <c r="N6" s="66" t="s">
        <v>120</v>
      </c>
      <c r="O6" s="1"/>
      <c r="P6" s="162">
        <f>D25</f>
        <v>2246641.7171688564</v>
      </c>
      <c r="R6" s="186" t="s">
        <v>135</v>
      </c>
      <c r="S6" s="187"/>
      <c r="T6" s="188">
        <f>-D18</f>
        <v>-2714144.436817097</v>
      </c>
    </row>
    <row r="7" spans="2:20" ht="15" customHeight="1" x14ac:dyDescent="0.5">
      <c r="B7" s="4" t="s">
        <v>1</v>
      </c>
      <c r="C7" s="5"/>
      <c r="D7" s="9">
        <v>33336903.600000001</v>
      </c>
      <c r="F7" s="126" t="s">
        <v>40</v>
      </c>
      <c r="G7" s="5"/>
      <c r="H7" s="69">
        <f>13.5*25.22*43560</f>
        <v>14830873.199999999</v>
      </c>
      <c r="J7" s="35" t="s">
        <v>55</v>
      </c>
      <c r="K7" s="173">
        <v>0.65</v>
      </c>
      <c r="L7" s="40">
        <f>SUM(L12:L13)*K7</f>
        <v>7358335.7268430246</v>
      </c>
      <c r="N7" s="94" t="s">
        <v>121</v>
      </c>
      <c r="O7" s="164"/>
      <c r="P7" s="165">
        <f ca="1">H25</f>
        <v>5521789.2496389821</v>
      </c>
      <c r="R7" s="189" t="s">
        <v>137</v>
      </c>
      <c r="S7" s="190"/>
      <c r="T7" s="191">
        <f>D50</f>
        <v>3000000</v>
      </c>
    </row>
    <row r="8" spans="2:20" ht="15" customHeight="1" x14ac:dyDescent="0.5">
      <c r="B8" s="4" t="s">
        <v>2</v>
      </c>
      <c r="C8" s="1"/>
      <c r="D8" s="9">
        <v>276080</v>
      </c>
      <c r="F8" s="126" t="s">
        <v>2</v>
      </c>
      <c r="G8" s="1"/>
      <c r="H8" s="127"/>
      <c r="J8" s="36" t="s">
        <v>56</v>
      </c>
      <c r="K8" s="29"/>
      <c r="L8" s="95">
        <f>L15-L7</f>
        <v>5962180.7759923982</v>
      </c>
      <c r="N8" s="168" t="s">
        <v>74</v>
      </c>
      <c r="O8" s="169"/>
      <c r="P8" s="170">
        <f ca="1">SUM(P6:P7)</f>
        <v>7768430.9668078385</v>
      </c>
      <c r="R8" s="186" t="s">
        <v>136</v>
      </c>
      <c r="S8" s="187"/>
      <c r="T8" s="188">
        <f ca="1">-H18</f>
        <v>-3585586.8807005049</v>
      </c>
    </row>
    <row r="9" spans="2:20" ht="15" customHeight="1" x14ac:dyDescent="0.5">
      <c r="B9" s="4" t="s">
        <v>3</v>
      </c>
      <c r="C9" s="5"/>
      <c r="D9" s="9">
        <f>-SUM(D7:D7)*3%</f>
        <v>-1000107.108</v>
      </c>
      <c r="F9" s="126" t="s">
        <v>3</v>
      </c>
      <c r="G9" s="5"/>
      <c r="H9" s="69">
        <f>-H7*3%</f>
        <v>-444926.19599999994</v>
      </c>
      <c r="J9" s="35" t="s">
        <v>74</v>
      </c>
      <c r="L9" s="40">
        <f>SUM(L7:L8)</f>
        <v>13320516.502835423</v>
      </c>
      <c r="N9" s="126"/>
      <c r="O9" s="5"/>
      <c r="P9" s="69"/>
      <c r="R9" s="189" t="s">
        <v>138</v>
      </c>
      <c r="S9" s="190"/>
      <c r="T9" s="191">
        <f>H36</f>
        <v>7500000</v>
      </c>
    </row>
    <row r="10" spans="2:20" ht="15" customHeight="1" x14ac:dyDescent="0.5">
      <c r="B10" s="4" t="s">
        <v>4</v>
      </c>
      <c r="C10" s="5"/>
      <c r="D10" s="9">
        <f>-150000*1.5</f>
        <v>-225000</v>
      </c>
      <c r="F10" s="126" t="s">
        <v>4</v>
      </c>
      <c r="G10" s="5"/>
      <c r="H10" s="69">
        <f>-150000*1.5</f>
        <v>-225000</v>
      </c>
      <c r="J10" s="35"/>
      <c r="L10" s="34"/>
      <c r="N10" s="163" t="s">
        <v>54</v>
      </c>
      <c r="O10" s="5"/>
      <c r="P10" s="69"/>
      <c r="R10" s="35" t="s">
        <v>139</v>
      </c>
      <c r="S10" s="184"/>
      <c r="T10" s="40">
        <f>L7</f>
        <v>7358335.7268430246</v>
      </c>
    </row>
    <row r="11" spans="2:20" ht="15" customHeight="1" x14ac:dyDescent="0.5">
      <c r="B11" s="6" t="s">
        <v>5</v>
      </c>
      <c r="C11" s="7"/>
      <c r="D11" s="9">
        <v>-200000</v>
      </c>
      <c r="F11" s="128" t="s">
        <v>5</v>
      </c>
      <c r="G11" s="7"/>
      <c r="H11" s="69">
        <v>-200000</v>
      </c>
      <c r="J11" s="91" t="s">
        <v>54</v>
      </c>
      <c r="L11" s="34"/>
      <c r="N11" s="128" t="s">
        <v>124</v>
      </c>
      <c r="O11" s="7"/>
      <c r="P11" s="167">
        <f>4850000+1850000</f>
        <v>6700000</v>
      </c>
      <c r="R11" s="36" t="s">
        <v>140</v>
      </c>
      <c r="S11" s="29"/>
      <c r="T11" s="185">
        <f>L22</f>
        <v>2200000</v>
      </c>
    </row>
    <row r="12" spans="2:20" ht="15" customHeight="1" x14ac:dyDescent="0.5">
      <c r="B12" s="4" t="s">
        <v>6</v>
      </c>
      <c r="C12" s="5"/>
      <c r="D12" s="9">
        <v>-350000</v>
      </c>
      <c r="F12" s="126" t="s">
        <v>6</v>
      </c>
      <c r="G12" s="5"/>
      <c r="H12" s="69">
        <v>-200000</v>
      </c>
      <c r="J12" s="35" t="s">
        <v>57</v>
      </c>
      <c r="L12" s="40">
        <f>'HEB Repurchase Price'!G114</f>
        <v>11098545.591015121</v>
      </c>
      <c r="N12" s="36" t="s">
        <v>122</v>
      </c>
      <c r="O12" s="29"/>
      <c r="P12" s="95">
        <f ca="1">P8-SUM(P11:P11)</f>
        <v>1068430.9668078385</v>
      </c>
      <c r="R12" s="47" t="s">
        <v>141</v>
      </c>
      <c r="S12" s="48"/>
      <c r="T12" s="97">
        <f ca="1">SUM(T5:T11)</f>
        <v>25371716.529325426</v>
      </c>
    </row>
    <row r="13" spans="2:20" ht="15" customHeight="1" x14ac:dyDescent="0.5">
      <c r="B13" s="8"/>
      <c r="C13" s="1"/>
      <c r="D13" s="98"/>
      <c r="F13" s="35"/>
      <c r="H13" s="34"/>
      <c r="J13" s="35" t="s">
        <v>73</v>
      </c>
      <c r="K13" s="173">
        <v>0.02</v>
      </c>
      <c r="L13" s="40">
        <f>L12*K13</f>
        <v>221970.91182030243</v>
      </c>
      <c r="N13" s="47" t="s">
        <v>75</v>
      </c>
      <c r="O13" s="48"/>
      <c r="P13" s="171">
        <f ca="1">SUM(P11:P12)</f>
        <v>7768430.9668078385</v>
      </c>
      <c r="R13" s="35"/>
      <c r="S13" s="184"/>
      <c r="T13" s="34"/>
    </row>
    <row r="14" spans="2:20" ht="15" customHeight="1" x14ac:dyDescent="0.5">
      <c r="B14" s="144" t="s">
        <v>98</v>
      </c>
      <c r="C14" s="145"/>
      <c r="D14" s="146">
        <f>SUM(D7:D13)</f>
        <v>31837876.492000002</v>
      </c>
      <c r="F14" s="144" t="s">
        <v>98</v>
      </c>
      <c r="G14" s="145"/>
      <c r="H14" s="146">
        <f>SUM(H7:H13)</f>
        <v>13760947.003999999</v>
      </c>
      <c r="J14" s="36" t="s">
        <v>123</v>
      </c>
      <c r="K14" s="29"/>
      <c r="L14" s="166">
        <v>2000000</v>
      </c>
      <c r="R14" s="35" t="s">
        <v>142</v>
      </c>
      <c r="S14" s="184"/>
      <c r="T14" s="93">
        <f>L30</f>
        <v>201.26223700642794</v>
      </c>
    </row>
    <row r="15" spans="2:20" ht="15" customHeight="1" x14ac:dyDescent="0.5">
      <c r="B15" s="118"/>
      <c r="C15" s="119"/>
      <c r="D15" s="120"/>
      <c r="J15" s="36" t="s">
        <v>75</v>
      </c>
      <c r="K15" s="29"/>
      <c r="L15" s="95">
        <f>SUM(L12:L14)</f>
        <v>13320516.502835423</v>
      </c>
      <c r="R15" s="35" t="s">
        <v>143</v>
      </c>
      <c r="S15" s="184"/>
      <c r="T15" s="37">
        <f ca="1">T12/T14/43560</f>
        <v>2.8940077107471391</v>
      </c>
    </row>
    <row r="16" spans="2:20" ht="15" customHeight="1" x14ac:dyDescent="0.5">
      <c r="B16" s="136" t="s">
        <v>100</v>
      </c>
      <c r="C16" s="137"/>
      <c r="D16" s="138"/>
      <c r="F16" s="136" t="s">
        <v>100</v>
      </c>
      <c r="G16" s="137"/>
      <c r="H16" s="138"/>
      <c r="J16" s="110"/>
      <c r="K16" s="142"/>
      <c r="L16" s="143"/>
      <c r="R16" s="35" t="s">
        <v>144</v>
      </c>
      <c r="S16" s="184"/>
      <c r="T16" s="37">
        <v>14.5</v>
      </c>
    </row>
    <row r="17" spans="2:20" ht="15" customHeight="1" x14ac:dyDescent="0.5">
      <c r="B17" s="35" t="s">
        <v>99</v>
      </c>
      <c r="D17" s="40">
        <f>'AMZL 1.0 Infrastructure'!C7</f>
        <v>7032241.2755140504</v>
      </c>
      <c r="F17" s="35" t="s">
        <v>101</v>
      </c>
      <c r="H17" s="40">
        <f>H35</f>
        <v>4653570.8736605123</v>
      </c>
      <c r="J17" s="33" t="s">
        <v>117</v>
      </c>
      <c r="K17" s="50"/>
      <c r="L17" s="153">
        <f>L7</f>
        <v>7358335.7268430246</v>
      </c>
      <c r="R17" s="47" t="s">
        <v>145</v>
      </c>
      <c r="S17" s="48"/>
      <c r="T17" s="192">
        <f ca="1">T15/T16</f>
        <v>0.19958673867221649</v>
      </c>
    </row>
    <row r="18" spans="2:20" ht="15" customHeight="1" x14ac:dyDescent="0.5">
      <c r="B18" s="66" t="s">
        <v>125</v>
      </c>
      <c r="D18" s="40">
        <f>D45</f>
        <v>2714144.436817097</v>
      </c>
      <c r="F18" s="66" t="s">
        <v>125</v>
      </c>
      <c r="H18" s="96">
        <f ca="1">IFERROR(H72, 0)</f>
        <v>3585586.8807005049</v>
      </c>
      <c r="J18" s="35" t="s">
        <v>118</v>
      </c>
      <c r="L18" s="37"/>
    </row>
    <row r="19" spans="2:20" ht="15" customHeight="1" x14ac:dyDescent="0.5">
      <c r="B19" s="66" t="s">
        <v>81</v>
      </c>
      <c r="D19" s="96">
        <v>9000000</v>
      </c>
      <c r="F19" s="66"/>
      <c r="H19" s="96"/>
      <c r="J19" s="100" t="s">
        <v>83</v>
      </c>
      <c r="L19" s="69">
        <v>500000</v>
      </c>
    </row>
    <row r="20" spans="2:20" ht="15" customHeight="1" x14ac:dyDescent="0.5">
      <c r="B20" s="66" t="s">
        <v>78</v>
      </c>
      <c r="D20" s="96">
        <v>5730000</v>
      </c>
      <c r="F20" s="66"/>
      <c r="H20" s="96"/>
      <c r="J20" s="100" t="s">
        <v>84</v>
      </c>
      <c r="L20" s="69">
        <v>700000</v>
      </c>
    </row>
    <row r="21" spans="2:20" ht="15" customHeight="1" x14ac:dyDescent="0.5">
      <c r="B21" s="66" t="s">
        <v>79</v>
      </c>
      <c r="D21" s="96">
        <v>3100000</v>
      </c>
      <c r="F21" s="94"/>
      <c r="G21" s="29"/>
      <c r="H21" s="117"/>
      <c r="J21" s="141" t="s">
        <v>65</v>
      </c>
      <c r="K21" s="29"/>
      <c r="L21" s="174">
        <v>1000000</v>
      </c>
    </row>
    <row r="22" spans="2:20" ht="15" customHeight="1" x14ac:dyDescent="0.5">
      <c r="B22" s="94" t="s">
        <v>80</v>
      </c>
      <c r="C22" s="29"/>
      <c r="D22" s="117">
        <v>2014849.0625</v>
      </c>
      <c r="F22" s="147" t="s">
        <v>75</v>
      </c>
      <c r="G22" s="148"/>
      <c r="H22" s="97">
        <f ca="1">SUM(H17:H21)</f>
        <v>8239157.7543610167</v>
      </c>
      <c r="J22" s="33" t="s">
        <v>82</v>
      </c>
      <c r="K22" s="50"/>
      <c r="L22" s="170">
        <f>SUM(L19:L21)</f>
        <v>2200000</v>
      </c>
    </row>
    <row r="23" spans="2:20" ht="15" customHeight="1" x14ac:dyDescent="0.5">
      <c r="B23" s="147" t="s">
        <v>75</v>
      </c>
      <c r="C23" s="148"/>
      <c r="D23" s="97">
        <f>SUM(D17:D22)</f>
        <v>29591234.774831146</v>
      </c>
      <c r="J23" s="100"/>
      <c r="L23" s="69"/>
    </row>
    <row r="24" spans="2:20" ht="15" customHeight="1" x14ac:dyDescent="0.5">
      <c r="J24" s="47" t="s">
        <v>41</v>
      </c>
      <c r="K24" s="48"/>
      <c r="L24" s="171">
        <f>SUM(L17,L22)</f>
        <v>9558335.7268430255</v>
      </c>
    </row>
    <row r="25" spans="2:20" ht="15" customHeight="1" x14ac:dyDescent="0.5">
      <c r="B25" s="42" t="s">
        <v>106</v>
      </c>
      <c r="C25" s="43"/>
      <c r="D25" s="116">
        <f>D14-D23</f>
        <v>2246641.7171688564</v>
      </c>
      <c r="F25" s="42" t="s">
        <v>106</v>
      </c>
      <c r="G25" s="43"/>
      <c r="H25" s="116">
        <f ca="1">H14-H22</f>
        <v>5521789.2496389821</v>
      </c>
    </row>
    <row r="27" spans="2:20" ht="15" customHeight="1" x14ac:dyDescent="0.5">
      <c r="B27" s="30" t="s">
        <v>23</v>
      </c>
      <c r="C27" s="31"/>
      <c r="D27" s="32"/>
      <c r="F27" s="54" t="s">
        <v>112</v>
      </c>
      <c r="G27" s="55"/>
      <c r="H27" s="56"/>
      <c r="J27" s="54" t="s">
        <v>43</v>
      </c>
      <c r="K27" s="55"/>
      <c r="L27" s="56"/>
    </row>
    <row r="28" spans="2:20" ht="15" customHeight="1" x14ac:dyDescent="0.5">
      <c r="B28" s="33" t="s">
        <v>24</v>
      </c>
      <c r="D28" s="34"/>
      <c r="F28" s="35"/>
      <c r="G28" s="122" t="s">
        <v>94</v>
      </c>
      <c r="H28" s="123" t="s">
        <v>95</v>
      </c>
      <c r="J28" s="35"/>
      <c r="K28" s="122" t="s">
        <v>94</v>
      </c>
      <c r="L28" s="123" t="s">
        <v>95</v>
      </c>
    </row>
    <row r="29" spans="2:20" ht="15" customHeight="1" x14ac:dyDescent="0.5">
      <c r="B29" s="35" t="s">
        <v>128</v>
      </c>
      <c r="D29" s="182">
        <v>12700000</v>
      </c>
      <c r="F29" s="33" t="s">
        <v>96</v>
      </c>
      <c r="G29" s="152">
        <f>D59</f>
        <v>11898967.683182904</v>
      </c>
      <c r="H29" s="153">
        <f ca="1">G29-H18</f>
        <v>8313380.8024824001</v>
      </c>
      <c r="J29" s="33" t="s">
        <v>96</v>
      </c>
      <c r="K29" s="152">
        <f ca="1">H52</f>
        <v>15813380.8024824</v>
      </c>
      <c r="L29" s="153">
        <f ca="1">K29+L24</f>
        <v>25371716.529325426</v>
      </c>
    </row>
    <row r="30" spans="2:20" ht="15" customHeight="1" x14ac:dyDescent="0.5">
      <c r="B30" s="36" t="s">
        <v>129</v>
      </c>
      <c r="C30" s="29"/>
      <c r="D30" s="174">
        <v>-1086887.8799999999</v>
      </c>
      <c r="F30" s="35" t="s">
        <v>97</v>
      </c>
      <c r="G30" s="129">
        <f>D60</f>
        <v>209.23490000000001</v>
      </c>
      <c r="H30" s="159">
        <f>G30-H68</f>
        <v>184.01490000000001</v>
      </c>
      <c r="J30" s="35" t="s">
        <v>97</v>
      </c>
      <c r="K30" s="129">
        <f>H53</f>
        <v>184.01490000000001</v>
      </c>
      <c r="L30" s="124">
        <f>K30+'HEB Repurchase Price'!G115/43560</f>
        <v>201.26223700642794</v>
      </c>
    </row>
    <row r="31" spans="2:20" ht="15" customHeight="1" x14ac:dyDescent="0.5">
      <c r="B31" s="35" t="s">
        <v>20</v>
      </c>
      <c r="D31" s="37">
        <f>SUM(D29:D30)</f>
        <v>11613112.120000001</v>
      </c>
      <c r="F31" s="36" t="s">
        <v>42</v>
      </c>
      <c r="G31" s="125">
        <f>G29/G30/43560</f>
        <v>1.3055312991134418</v>
      </c>
      <c r="H31" s="53">
        <f ca="1">H29/H30/43560</f>
        <v>1.037138636098319</v>
      </c>
      <c r="J31" s="36" t="s">
        <v>42</v>
      </c>
      <c r="K31" s="125">
        <f ca="1">K29/K30/43560</f>
        <v>1.9728036748530338</v>
      </c>
      <c r="L31" s="53">
        <f ca="1">L29/L30/43560</f>
        <v>2.8940077107471391</v>
      </c>
    </row>
    <row r="32" spans="2:20" ht="15" customHeight="1" x14ac:dyDescent="0.5">
      <c r="B32" s="35"/>
      <c r="D32" s="34"/>
    </row>
    <row r="33" spans="2:12" ht="15" customHeight="1" x14ac:dyDescent="0.5">
      <c r="B33" s="38" t="s">
        <v>21</v>
      </c>
      <c r="D33" s="39">
        <v>208.3279</v>
      </c>
      <c r="F33" s="136" t="s">
        <v>104</v>
      </c>
      <c r="G33" s="139"/>
      <c r="H33" s="140"/>
    </row>
    <row r="34" spans="2:12" ht="15" customHeight="1" x14ac:dyDescent="0.5">
      <c r="B34" s="180" t="s">
        <v>126</v>
      </c>
      <c r="D34" s="39">
        <v>-10.5</v>
      </c>
      <c r="F34" s="33" t="s">
        <v>53</v>
      </c>
      <c r="H34" s="34"/>
    </row>
    <row r="35" spans="2:12" ht="15" customHeight="1" x14ac:dyDescent="0.5">
      <c r="B35" s="38" t="s">
        <v>30</v>
      </c>
      <c r="D35" s="34">
        <f>SUM(D33:D34)</f>
        <v>197.8279</v>
      </c>
      <c r="F35" s="35" t="s">
        <v>105</v>
      </c>
      <c r="H35" s="40">
        <f>H40-H36</f>
        <v>4653570.8736605123</v>
      </c>
      <c r="L35" s="183"/>
    </row>
    <row r="36" spans="2:12" ht="15" customHeight="1" x14ac:dyDescent="0.5">
      <c r="B36" s="35"/>
      <c r="D36" s="34"/>
      <c r="F36" s="36" t="s">
        <v>103</v>
      </c>
      <c r="G36" s="29"/>
      <c r="H36" s="117">
        <v>7500000</v>
      </c>
    </row>
    <row r="37" spans="2:12" ht="15" customHeight="1" x14ac:dyDescent="0.5">
      <c r="B37" s="35" t="s">
        <v>22</v>
      </c>
      <c r="C37" s="44">
        <v>2.5</v>
      </c>
      <c r="D37" s="40">
        <f>ABS(D31/D33*D34*C37)</f>
        <v>1463290.2897307561</v>
      </c>
      <c r="F37" s="35" t="s">
        <v>74</v>
      </c>
      <c r="H37" s="40">
        <f>SUM(H35:H36)</f>
        <v>12153570.873660512</v>
      </c>
    </row>
    <row r="38" spans="2:12" ht="15" customHeight="1" x14ac:dyDescent="0.5">
      <c r="B38" s="35"/>
      <c r="D38" s="34"/>
      <c r="F38" s="35"/>
      <c r="H38" s="34"/>
    </row>
    <row r="39" spans="2:12" ht="15" customHeight="1" x14ac:dyDescent="0.5">
      <c r="B39" s="33" t="s">
        <v>25</v>
      </c>
      <c r="D39" s="34"/>
      <c r="F39" s="33" t="s">
        <v>54</v>
      </c>
      <c r="H39" s="34"/>
    </row>
    <row r="40" spans="2:12" ht="15" customHeight="1" x14ac:dyDescent="0.5">
      <c r="B40" s="35" t="s">
        <v>7</v>
      </c>
      <c r="D40" s="41">
        <f>D14-D17</f>
        <v>24805635.216485951</v>
      </c>
      <c r="F40" s="36" t="s">
        <v>102</v>
      </c>
      <c r="G40" s="29"/>
      <c r="H40" s="95">
        <f>'AMZL 2.0 Infrasructure'!C9</f>
        <v>12153570.873660512</v>
      </c>
    </row>
    <row r="41" spans="2:12" ht="15" customHeight="1" x14ac:dyDescent="0.5">
      <c r="B41" s="38" t="s">
        <v>27</v>
      </c>
      <c r="D41" s="39">
        <v>52.78</v>
      </c>
      <c r="F41" s="36" t="s">
        <v>75</v>
      </c>
      <c r="G41" s="29"/>
      <c r="H41" s="95">
        <f>SUM(H40)</f>
        <v>12153570.873660512</v>
      </c>
    </row>
    <row r="42" spans="2:12" ht="15" customHeight="1" x14ac:dyDescent="0.5">
      <c r="B42" s="35" t="s">
        <v>19</v>
      </c>
      <c r="D42" s="39">
        <v>10.5</v>
      </c>
    </row>
    <row r="43" spans="2:12" ht="15" customHeight="1" x14ac:dyDescent="0.5">
      <c r="B43" s="35" t="s">
        <v>26</v>
      </c>
      <c r="C43" s="44">
        <v>0.55000000000000004</v>
      </c>
      <c r="D43" s="40">
        <f>D40/D41*D42*C43</f>
        <v>2714144.436817097</v>
      </c>
      <c r="F43" s="54" t="s">
        <v>116</v>
      </c>
      <c r="G43" s="55"/>
      <c r="H43" s="56"/>
    </row>
    <row r="44" spans="2:12" ht="15" customHeight="1" x14ac:dyDescent="0.5">
      <c r="B44" s="35"/>
      <c r="D44" s="34"/>
      <c r="F44" s="35"/>
      <c r="G44" s="122" t="s">
        <v>114</v>
      </c>
      <c r="H44" s="123" t="s">
        <v>115</v>
      </c>
    </row>
    <row r="45" spans="2:12" ht="15" customHeight="1" x14ac:dyDescent="0.5">
      <c r="B45" s="42" t="s">
        <v>127</v>
      </c>
      <c r="C45" s="43"/>
      <c r="D45" s="181">
        <f>MAX(D37,D43)</f>
        <v>2714144.436817097</v>
      </c>
      <c r="F45" s="35" t="s">
        <v>107</v>
      </c>
      <c r="G45" s="154">
        <v>46539</v>
      </c>
      <c r="H45" s="96">
        <v>3000000</v>
      </c>
    </row>
    <row r="46" spans="2:12" ht="15" customHeight="1" x14ac:dyDescent="0.5">
      <c r="F46" s="35" t="s">
        <v>109</v>
      </c>
      <c r="G46" s="154">
        <v>46631</v>
      </c>
      <c r="H46" s="96">
        <v>2500000</v>
      </c>
    </row>
    <row r="47" spans="2:12" ht="15" customHeight="1" x14ac:dyDescent="0.5">
      <c r="B47" s="136" t="s">
        <v>130</v>
      </c>
      <c r="C47" s="139"/>
      <c r="D47" s="140"/>
      <c r="F47" s="36" t="s">
        <v>108</v>
      </c>
      <c r="G47" s="158">
        <v>46722</v>
      </c>
      <c r="H47" s="117">
        <v>2000000</v>
      </c>
    </row>
    <row r="48" spans="2:12" ht="15" customHeight="1" x14ac:dyDescent="0.5">
      <c r="B48" s="33" t="s">
        <v>53</v>
      </c>
      <c r="D48" s="34"/>
      <c r="F48" s="47" t="s">
        <v>110</v>
      </c>
      <c r="G48" s="160"/>
      <c r="H48" s="161">
        <f>SUM(H45:H47)</f>
        <v>7500000</v>
      </c>
    </row>
    <row r="49" spans="2:8" ht="15" customHeight="1" x14ac:dyDescent="0.5">
      <c r="B49" s="35" t="s">
        <v>105</v>
      </c>
      <c r="D49" s="40">
        <f>D21</f>
        <v>3100000</v>
      </c>
      <c r="G49" s="129"/>
      <c r="H49" s="155"/>
    </row>
    <row r="50" spans="2:8" ht="15" customHeight="1" x14ac:dyDescent="0.5">
      <c r="B50" s="36" t="s">
        <v>131</v>
      </c>
      <c r="C50" s="29"/>
      <c r="D50" s="117">
        <f>D55-D49</f>
        <v>3000000</v>
      </c>
      <c r="F50" s="54" t="s">
        <v>111</v>
      </c>
      <c r="G50" s="55"/>
      <c r="H50" s="56"/>
    </row>
    <row r="51" spans="2:8" ht="15" customHeight="1" x14ac:dyDescent="0.5">
      <c r="B51" s="35" t="s">
        <v>74</v>
      </c>
      <c r="D51" s="40">
        <f>SUM(D49:D50)</f>
        <v>6100000</v>
      </c>
      <c r="F51" s="35"/>
      <c r="G51" s="122" t="s">
        <v>94</v>
      </c>
      <c r="H51" s="123" t="s">
        <v>95</v>
      </c>
    </row>
    <row r="52" spans="2:8" ht="15" customHeight="1" x14ac:dyDescent="0.5">
      <c r="B52" s="35"/>
      <c r="D52" s="34"/>
      <c r="F52" s="33" t="s">
        <v>96</v>
      </c>
      <c r="G52" s="152">
        <f ca="1">H29</f>
        <v>8313380.8024824001</v>
      </c>
      <c r="H52" s="153">
        <f ca="1">G52+H48</f>
        <v>15813380.8024824</v>
      </c>
    </row>
    <row r="53" spans="2:8" ht="15" customHeight="1" x14ac:dyDescent="0.5">
      <c r="B53" s="33" t="s">
        <v>54</v>
      </c>
      <c r="D53" s="34"/>
      <c r="F53" s="35" t="s">
        <v>97</v>
      </c>
      <c r="G53" s="129">
        <f>H30</f>
        <v>184.01490000000001</v>
      </c>
      <c r="H53" s="159">
        <f>G53</f>
        <v>184.01490000000001</v>
      </c>
    </row>
    <row r="54" spans="2:8" ht="15" customHeight="1" x14ac:dyDescent="0.5">
      <c r="B54" s="36" t="s">
        <v>132</v>
      </c>
      <c r="C54" s="29"/>
      <c r="D54" s="117">
        <v>6100000</v>
      </c>
      <c r="F54" s="36" t="s">
        <v>42</v>
      </c>
      <c r="G54" s="125">
        <f ca="1">G52/G53/43560</f>
        <v>1.037138636098319</v>
      </c>
      <c r="H54" s="53">
        <f ca="1">H52/H53/43560</f>
        <v>1.9728036748530338</v>
      </c>
    </row>
    <row r="55" spans="2:8" ht="15" customHeight="1" x14ac:dyDescent="0.5">
      <c r="B55" s="36" t="s">
        <v>75</v>
      </c>
      <c r="C55" s="29"/>
      <c r="D55" s="95">
        <f>SUM(D54)</f>
        <v>6100000</v>
      </c>
      <c r="F55" s="156"/>
      <c r="G55" s="157"/>
      <c r="H55" s="157"/>
    </row>
    <row r="56" spans="2:8" ht="15" customHeight="1" x14ac:dyDescent="0.5">
      <c r="F56" s="30" t="s">
        <v>23</v>
      </c>
      <c r="G56" s="31"/>
      <c r="H56" s="32"/>
    </row>
    <row r="57" spans="2:8" ht="15" customHeight="1" x14ac:dyDescent="0.5">
      <c r="B57" s="54" t="s">
        <v>113</v>
      </c>
      <c r="C57" s="55"/>
      <c r="D57" s="56"/>
      <c r="F57" s="33" t="s">
        <v>24</v>
      </c>
      <c r="H57" s="34"/>
    </row>
    <row r="58" spans="2:8" ht="15" customHeight="1" x14ac:dyDescent="0.5">
      <c r="B58" s="35"/>
      <c r="C58" s="122" t="s">
        <v>94</v>
      </c>
      <c r="D58" s="123" t="s">
        <v>95</v>
      </c>
      <c r="F58" s="35" t="s">
        <v>20</v>
      </c>
      <c r="H58" s="37">
        <f>G29</f>
        <v>11898967.683182904</v>
      </c>
    </row>
    <row r="59" spans="2:8" ht="15" customHeight="1" x14ac:dyDescent="0.5">
      <c r="B59" s="33" t="s">
        <v>96</v>
      </c>
      <c r="C59" s="152">
        <v>11613112.120000001</v>
      </c>
      <c r="D59" s="153">
        <f>C59-D18+D50</f>
        <v>11898967.683182904</v>
      </c>
      <c r="F59" s="35"/>
      <c r="H59" s="34"/>
    </row>
    <row r="60" spans="2:8" ht="15" customHeight="1" x14ac:dyDescent="0.5">
      <c r="B60" s="35" t="s">
        <v>97</v>
      </c>
      <c r="C60" s="121">
        <v>208.3279</v>
      </c>
      <c r="D60" s="124">
        <f>C60-10.5+(25.11-13.703)</f>
        <v>209.23490000000001</v>
      </c>
      <c r="F60" s="38" t="s">
        <v>21</v>
      </c>
      <c r="H60" s="52">
        <f>G30</f>
        <v>209.23490000000001</v>
      </c>
    </row>
    <row r="61" spans="2:8" ht="15" customHeight="1" x14ac:dyDescent="0.5">
      <c r="B61" s="36" t="s">
        <v>42</v>
      </c>
      <c r="C61" s="125">
        <f>C59/C60/43560</f>
        <v>1.2797151512796854</v>
      </c>
      <c r="D61" s="53">
        <f>D59/D60/43560</f>
        <v>1.3055312991134418</v>
      </c>
      <c r="F61" s="35" t="s">
        <v>19</v>
      </c>
      <c r="H61" s="39">
        <v>25.22</v>
      </c>
    </row>
    <row r="62" spans="2:8" ht="15" customHeight="1" x14ac:dyDescent="0.5">
      <c r="F62" s="38" t="s">
        <v>30</v>
      </c>
      <c r="H62" s="52">
        <f>H60-H61</f>
        <v>184.01490000000001</v>
      </c>
    </row>
    <row r="63" spans="2:8" ht="15" customHeight="1" x14ac:dyDescent="0.5">
      <c r="F63" s="35"/>
      <c r="H63" s="34"/>
    </row>
    <row r="64" spans="2:8" ht="15" customHeight="1" x14ac:dyDescent="0.5">
      <c r="F64" s="35" t="s">
        <v>22</v>
      </c>
      <c r="G64" s="44">
        <v>2.5</v>
      </c>
      <c r="H64" s="40">
        <f>H58/H60*H61*G64</f>
        <v>3585586.8807005049</v>
      </c>
    </row>
    <row r="65" spans="6:8" ht="15" customHeight="1" x14ac:dyDescent="0.5">
      <c r="F65" s="35"/>
      <c r="H65" s="34"/>
    </row>
    <row r="66" spans="6:8" ht="15" customHeight="1" x14ac:dyDescent="0.5">
      <c r="F66" s="33" t="s">
        <v>25</v>
      </c>
      <c r="H66" s="34"/>
    </row>
    <row r="67" spans="6:8" ht="15" customHeight="1" x14ac:dyDescent="0.5">
      <c r="F67" s="35" t="s">
        <v>7</v>
      </c>
      <c r="H67" s="41">
        <f ca="1">H14-H22</f>
        <v>5521789.2496389821</v>
      </c>
    </row>
    <row r="68" spans="6:8" ht="15" customHeight="1" x14ac:dyDescent="0.5">
      <c r="F68" s="38" t="s">
        <v>27</v>
      </c>
      <c r="H68" s="39">
        <v>25.22</v>
      </c>
    </row>
    <row r="69" spans="6:8" ht="15" customHeight="1" x14ac:dyDescent="0.5">
      <c r="F69" s="35" t="s">
        <v>19</v>
      </c>
      <c r="H69" s="39">
        <f>H61</f>
        <v>25.22</v>
      </c>
    </row>
    <row r="70" spans="6:8" ht="15" customHeight="1" x14ac:dyDescent="0.5">
      <c r="F70" s="35" t="s">
        <v>26</v>
      </c>
      <c r="G70" s="172">
        <v>0.55000000000000004</v>
      </c>
      <c r="H70" s="40">
        <f ca="1">H67/H68*H69*G70</f>
        <v>3036984.0873014405</v>
      </c>
    </row>
    <row r="71" spans="6:8" ht="15" customHeight="1" x14ac:dyDescent="0.5">
      <c r="F71" s="35"/>
      <c r="H71" s="34"/>
    </row>
    <row r="72" spans="6:8" ht="15" customHeight="1" x14ac:dyDescent="0.5">
      <c r="F72" s="149" t="s">
        <v>50</v>
      </c>
      <c r="G72" s="150"/>
      <c r="H72" s="151">
        <f ca="1">MAX(H64,H70)</f>
        <v>3585586.8807005049</v>
      </c>
    </row>
    <row r="74" spans="6:8" ht="15" customHeight="1" x14ac:dyDescent="0.5">
      <c r="F74" s="136" t="s">
        <v>31</v>
      </c>
      <c r="G74" s="137"/>
      <c r="H74" s="138"/>
    </row>
    <row r="75" spans="6:8" ht="15" customHeight="1" x14ac:dyDescent="0.5">
      <c r="F75" s="35" t="s">
        <v>32</v>
      </c>
      <c r="H75" s="45">
        <v>46140</v>
      </c>
    </row>
    <row r="76" spans="6:8" ht="15" customHeight="1" x14ac:dyDescent="0.5">
      <c r="F76" s="35" t="s">
        <v>33</v>
      </c>
      <c r="H76" s="46">
        <v>120</v>
      </c>
    </row>
    <row r="77" spans="6:8" ht="15" customHeight="1" x14ac:dyDescent="0.5">
      <c r="F77" s="33" t="s">
        <v>36</v>
      </c>
      <c r="G77" s="50"/>
      <c r="H77" s="51">
        <f>H75+H76</f>
        <v>46260</v>
      </c>
    </row>
    <row r="78" spans="6:8" ht="15" customHeight="1" x14ac:dyDescent="0.5">
      <c r="F78" s="35" t="s">
        <v>35</v>
      </c>
      <c r="H78" s="46">
        <v>60</v>
      </c>
    </row>
    <row r="79" spans="6:8" ht="15" customHeight="1" x14ac:dyDescent="0.5">
      <c r="F79" s="35" t="s">
        <v>34</v>
      </c>
      <c r="H79" s="45">
        <f>H77+H78</f>
        <v>46320</v>
      </c>
    </row>
    <row r="80" spans="6:8" ht="15" customHeight="1" x14ac:dyDescent="0.5">
      <c r="F80" s="33" t="s">
        <v>39</v>
      </c>
      <c r="G80" s="50"/>
      <c r="H80" s="51">
        <f>H79+1</f>
        <v>46321</v>
      </c>
    </row>
    <row r="81" spans="6:8" ht="15" customHeight="1" x14ac:dyDescent="0.5">
      <c r="F81" s="35" t="s">
        <v>37</v>
      </c>
      <c r="H81" s="46">
        <v>30</v>
      </c>
    </row>
    <row r="82" spans="6:8" ht="15" customHeight="1" x14ac:dyDescent="0.5">
      <c r="F82" s="47" t="s">
        <v>38</v>
      </c>
      <c r="G82" s="48"/>
      <c r="H82" s="49">
        <f>H80+H81</f>
        <v>46351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83E0-8E19-467D-8964-5A37C5913B6B}">
  <dimension ref="B2:C16"/>
  <sheetViews>
    <sheetView showGridLines="0" zoomScale="85" zoomScaleNormal="85" workbookViewId="0">
      <selection activeCell="C16" sqref="C16"/>
    </sheetView>
  </sheetViews>
  <sheetFormatPr defaultRowHeight="14.35" x14ac:dyDescent="0.5"/>
  <cols>
    <col min="1" max="1" width="3.703125" customWidth="1"/>
    <col min="2" max="2" width="29.46875" customWidth="1"/>
    <col min="3" max="3" width="15.703125" customWidth="1"/>
  </cols>
  <sheetData>
    <row r="2" spans="2:3" x14ac:dyDescent="0.5">
      <c r="B2" s="110" t="s">
        <v>85</v>
      </c>
      <c r="C2" s="111">
        <f ca="1">Summary!L29</f>
        <v>25371716.529325426</v>
      </c>
    </row>
    <row r="3" spans="2:3" x14ac:dyDescent="0.5">
      <c r="B3" s="35" t="s">
        <v>92</v>
      </c>
      <c r="C3" s="112">
        <f>Summary!L30</f>
        <v>201.26223700642794</v>
      </c>
    </row>
    <row r="4" spans="2:3" x14ac:dyDescent="0.5">
      <c r="B4" s="35" t="s">
        <v>86</v>
      </c>
      <c r="C4" s="37">
        <f ca="1">Summary!L31</f>
        <v>2.8940077107471391</v>
      </c>
    </row>
    <row r="5" spans="2:3" x14ac:dyDescent="0.5">
      <c r="B5" s="35"/>
      <c r="C5" s="37"/>
    </row>
    <row r="6" spans="2:3" x14ac:dyDescent="0.5">
      <c r="B6" s="33" t="s">
        <v>90</v>
      </c>
      <c r="C6" s="37"/>
    </row>
    <row r="7" spans="2:3" x14ac:dyDescent="0.5">
      <c r="B7" s="35" t="s">
        <v>89</v>
      </c>
      <c r="C7" s="37">
        <f ca="1">C4*250%</f>
        <v>7.2350192768678481</v>
      </c>
    </row>
    <row r="8" spans="2:3" x14ac:dyDescent="0.5">
      <c r="B8" s="35" t="s">
        <v>87</v>
      </c>
      <c r="C8" s="93">
        <f ca="1">C2/C7/43560</f>
        <v>80.504894802571172</v>
      </c>
    </row>
    <row r="9" spans="2:3" x14ac:dyDescent="0.5">
      <c r="B9" s="35" t="s">
        <v>93</v>
      </c>
      <c r="C9" s="113">
        <f ca="1">C8/$C$3</f>
        <v>0.39999999999999997</v>
      </c>
    </row>
    <row r="10" spans="2:3" x14ac:dyDescent="0.5">
      <c r="B10" s="35"/>
      <c r="C10" s="34"/>
    </row>
    <row r="11" spans="2:3" x14ac:dyDescent="0.5">
      <c r="B11" s="33" t="s">
        <v>91</v>
      </c>
      <c r="C11" s="34"/>
    </row>
    <row r="12" spans="2:3" x14ac:dyDescent="0.5">
      <c r="B12" s="35" t="s">
        <v>88</v>
      </c>
      <c r="C12" s="37">
        <v>14.5</v>
      </c>
    </row>
    <row r="13" spans="2:3" x14ac:dyDescent="0.5">
      <c r="B13" s="35" t="s">
        <v>87</v>
      </c>
      <c r="C13" s="93">
        <f ca="1">C2/C12/43560</f>
        <v>40.169273501987625</v>
      </c>
    </row>
    <row r="14" spans="2:3" x14ac:dyDescent="0.5">
      <c r="B14" s="36" t="s">
        <v>93</v>
      </c>
      <c r="C14" s="114">
        <f ca="1">C13/$C$3</f>
        <v>0.19958673867221646</v>
      </c>
    </row>
    <row r="15" spans="2:3" x14ac:dyDescent="0.5">
      <c r="C15" s="99"/>
    </row>
    <row r="16" spans="2:3" x14ac:dyDescent="0.5">
      <c r="C16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0969-A082-4188-99D5-270562896188}">
  <dimension ref="B1:G8"/>
  <sheetViews>
    <sheetView showGridLines="0" zoomScale="85" zoomScaleNormal="85" workbookViewId="0">
      <pane ySplit="2" topLeftCell="A3" activePane="bottomLeft" state="frozen"/>
      <selection activeCell="C25" sqref="C25"/>
      <selection pane="bottomLeft" activeCell="C42" sqref="C42"/>
    </sheetView>
  </sheetViews>
  <sheetFormatPr defaultColWidth="9.1171875" defaultRowHeight="14.35" x14ac:dyDescent="0.5"/>
  <cols>
    <col min="1" max="1" width="3.5859375" style="12" customWidth="1"/>
    <col min="2" max="2" width="25.52734375" style="12" customWidth="1"/>
    <col min="3" max="4" width="16" style="11" customWidth="1"/>
    <col min="5" max="5" width="19.8203125" style="11" bestFit="1" customWidth="1"/>
    <col min="6" max="7" width="16" style="11" customWidth="1"/>
    <col min="8" max="16384" width="9.1171875" style="12"/>
  </cols>
  <sheetData>
    <row r="1" spans="2:7" ht="18" x14ac:dyDescent="0.6">
      <c r="B1" s="10" t="s">
        <v>8</v>
      </c>
    </row>
    <row r="2" spans="2:7" x14ac:dyDescent="0.5">
      <c r="B2" s="13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15" t="s">
        <v>14</v>
      </c>
    </row>
    <row r="3" spans="2:7" x14ac:dyDescent="0.5">
      <c r="B3" s="16" t="s">
        <v>15</v>
      </c>
      <c r="C3" s="17">
        <v>1904299.17186905</v>
      </c>
      <c r="D3" s="18">
        <v>0.5</v>
      </c>
      <c r="E3" s="17">
        <v>1904299.17186905</v>
      </c>
      <c r="F3" s="18">
        <v>0.5</v>
      </c>
      <c r="G3" s="115">
        <v>3808598.3437381</v>
      </c>
    </row>
    <row r="4" spans="2:7" x14ac:dyDescent="0.5">
      <c r="B4" s="19" t="s">
        <v>16</v>
      </c>
      <c r="C4" s="20">
        <v>1766409.76875</v>
      </c>
      <c r="D4" s="21">
        <v>0.5</v>
      </c>
      <c r="E4" s="20">
        <v>1766409.76875</v>
      </c>
      <c r="F4" s="21">
        <v>0.5</v>
      </c>
      <c r="G4" s="176">
        <v>3532819.5375000001</v>
      </c>
    </row>
    <row r="5" spans="2:7" x14ac:dyDescent="0.5">
      <c r="B5" s="16" t="s">
        <v>17</v>
      </c>
      <c r="C5" s="115">
        <f>G5*D5</f>
        <v>3314722.3793949997</v>
      </c>
      <c r="D5" s="18">
        <v>1</v>
      </c>
      <c r="E5" s="17">
        <f>G5*F5</f>
        <v>0</v>
      </c>
      <c r="F5" s="18">
        <v>0</v>
      </c>
      <c r="G5" s="115">
        <v>3314722.3793949997</v>
      </c>
    </row>
    <row r="6" spans="2:7" ht="14.7" thickBot="1" x14ac:dyDescent="0.55000000000000004">
      <c r="B6" s="22" t="s">
        <v>18</v>
      </c>
      <c r="C6" s="23">
        <v>46809.955500000011</v>
      </c>
      <c r="D6" s="24">
        <v>7.8057411192130388E-2</v>
      </c>
      <c r="E6" s="23">
        <v>552876.28550000011</v>
      </c>
      <c r="F6" s="24">
        <v>0.92194258880786961</v>
      </c>
      <c r="G6" s="177">
        <v>599686.24100000015</v>
      </c>
    </row>
    <row r="7" spans="2:7" ht="14.7" thickBot="1" x14ac:dyDescent="0.55000000000000004">
      <c r="B7" s="25" t="s">
        <v>14</v>
      </c>
      <c r="C7" s="26">
        <f>SUM(C3:C6)</f>
        <v>7032241.2755140504</v>
      </c>
      <c r="D7" s="27">
        <v>0.68137895999176579</v>
      </c>
      <c r="E7" s="26">
        <f>SUM(E3:E6)</f>
        <v>4223585.2261190498</v>
      </c>
      <c r="F7" s="27">
        <v>0.3186210400082341</v>
      </c>
      <c r="G7" s="26">
        <f>SUM(G3:G6)</f>
        <v>11255826.5016331</v>
      </c>
    </row>
    <row r="8" spans="2:7" ht="14.7" thickTop="1" x14ac:dyDescent="0.5">
      <c r="C8" s="28"/>
      <c r="D8" s="2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18AF-7067-45AB-8B0D-C61A292DC666}">
  <dimension ref="B1:I27"/>
  <sheetViews>
    <sheetView showGridLines="0" zoomScale="70" zoomScaleNormal="70" workbookViewId="0">
      <pane ySplit="2" topLeftCell="A3" activePane="bottomLeft" state="frozen"/>
      <selection pane="bottomLeft" activeCell="A8" sqref="A8"/>
    </sheetView>
  </sheetViews>
  <sheetFormatPr defaultColWidth="9" defaultRowHeight="14.35" x14ac:dyDescent="0.5"/>
  <cols>
    <col min="1" max="1" width="3.5859375" style="12" customWidth="1"/>
    <col min="2" max="2" width="29.17578125" style="12" bestFit="1" customWidth="1"/>
    <col min="3" max="4" width="15.5859375" style="11" customWidth="1"/>
    <col min="5" max="5" width="19.41015625" style="11" bestFit="1" customWidth="1"/>
    <col min="6" max="7" width="15.5859375" style="11" customWidth="1"/>
    <col min="8" max="8" width="9" style="12"/>
    <col min="9" max="9" width="16.41015625" style="12" bestFit="1" customWidth="1"/>
    <col min="10" max="16384" width="9" style="12"/>
  </cols>
  <sheetData>
    <row r="1" spans="2:7" ht="18" x14ac:dyDescent="0.6">
      <c r="B1" s="10" t="s">
        <v>44</v>
      </c>
    </row>
    <row r="2" spans="2:7" x14ac:dyDescent="0.5">
      <c r="B2" s="101" t="s">
        <v>9</v>
      </c>
      <c r="C2" s="57" t="s">
        <v>10</v>
      </c>
      <c r="D2" s="57" t="s">
        <v>11</v>
      </c>
      <c r="E2" s="57" t="s">
        <v>12</v>
      </c>
      <c r="F2" s="57" t="s">
        <v>13</v>
      </c>
      <c r="G2" s="58" t="s">
        <v>14</v>
      </c>
    </row>
    <row r="3" spans="2:7" x14ac:dyDescent="0.5">
      <c r="B3" s="102" t="s">
        <v>45</v>
      </c>
      <c r="C3" s="59">
        <f>$G3*D3</f>
        <v>2079086.8912000002</v>
      </c>
      <c r="D3" s="60">
        <v>0.5</v>
      </c>
      <c r="E3" s="59">
        <f>$G3*F3</f>
        <v>2079086.8912000002</v>
      </c>
      <c r="F3" s="60">
        <v>0.5</v>
      </c>
      <c r="G3" s="178">
        <v>4158173.7824000004</v>
      </c>
    </row>
    <row r="4" spans="2:7" x14ac:dyDescent="0.5">
      <c r="B4" s="103" t="s">
        <v>48</v>
      </c>
      <c r="C4" s="59">
        <f t="shared" ref="C4:E8" si="0">$G4*D4</f>
        <v>1092559.2645</v>
      </c>
      <c r="D4" s="60">
        <v>0.5</v>
      </c>
      <c r="E4" s="59">
        <f t="shared" si="0"/>
        <v>1092559.2645</v>
      </c>
      <c r="F4" s="60">
        <v>0.5</v>
      </c>
      <c r="G4" s="178">
        <v>2185118.5290000001</v>
      </c>
    </row>
    <row r="5" spans="2:7" x14ac:dyDescent="0.5">
      <c r="B5" s="104" t="s">
        <v>46</v>
      </c>
      <c r="C5" s="59">
        <f t="shared" si="0"/>
        <v>1484248.3499</v>
      </c>
      <c r="D5" s="60">
        <v>0.5</v>
      </c>
      <c r="E5" s="59">
        <f t="shared" si="0"/>
        <v>1484248.3499</v>
      </c>
      <c r="F5" s="60">
        <v>0.5</v>
      </c>
      <c r="G5" s="178">
        <v>2968496.6998000001</v>
      </c>
    </row>
    <row r="6" spans="2:7" x14ac:dyDescent="0.5">
      <c r="B6" s="105" t="s">
        <v>47</v>
      </c>
      <c r="C6" s="59">
        <f t="shared" si="0"/>
        <v>4107274.8034999999</v>
      </c>
      <c r="D6" s="60">
        <v>0.5</v>
      </c>
      <c r="E6" s="59">
        <f t="shared" si="0"/>
        <v>4107274.8034999999</v>
      </c>
      <c r="F6" s="60">
        <v>0.5</v>
      </c>
      <c r="G6" s="178">
        <v>8214549.6069999998</v>
      </c>
    </row>
    <row r="7" spans="2:7" x14ac:dyDescent="0.5">
      <c r="B7" s="106" t="s">
        <v>49</v>
      </c>
      <c r="C7" s="59">
        <f t="shared" si="0"/>
        <v>3354188.3408000004</v>
      </c>
      <c r="D7" s="60">
        <v>1</v>
      </c>
      <c r="E7" s="59">
        <f t="shared" si="0"/>
        <v>0</v>
      </c>
      <c r="F7" s="60">
        <v>0</v>
      </c>
      <c r="G7" s="178">
        <v>3354188.3408000004</v>
      </c>
    </row>
    <row r="8" spans="2:7" x14ac:dyDescent="0.5">
      <c r="B8" s="107" t="s">
        <v>18</v>
      </c>
      <c r="C8" s="62">
        <f t="shared" si="0"/>
        <v>36213.223760511188</v>
      </c>
      <c r="D8" s="63">
        <v>0.14916398689641583</v>
      </c>
      <c r="E8" s="62">
        <f t="shared" si="0"/>
        <v>206561.35282451121</v>
      </c>
      <c r="F8" s="63">
        <v>0.85083601310358414</v>
      </c>
      <c r="G8" s="179">
        <v>242774.57658502241</v>
      </c>
    </row>
    <row r="9" spans="2:7" ht="14.7" thickBot="1" x14ac:dyDescent="0.55000000000000004">
      <c r="B9" s="108" t="s">
        <v>14</v>
      </c>
      <c r="C9" s="64">
        <f>SUM(C3:C8)</f>
        <v>12153570.873660512</v>
      </c>
      <c r="D9" s="27">
        <f>C9/G9</f>
        <v>0.57536322402945395</v>
      </c>
      <c r="E9" s="26">
        <f>SUM(E3:E8)</f>
        <v>8969730.6619245112</v>
      </c>
      <c r="F9" s="27">
        <f>E9/G9</f>
        <v>0.42463677597054622</v>
      </c>
      <c r="G9" s="26">
        <f>SUM(G3:G8)</f>
        <v>21123301.53558502</v>
      </c>
    </row>
    <row r="10" spans="2:7" ht="14.7" thickTop="1" x14ac:dyDescent="0.5">
      <c r="C10" s="28"/>
      <c r="D10" s="28"/>
    </row>
    <row r="26" spans="9:9" x14ac:dyDescent="0.5">
      <c r="I26" s="65"/>
    </row>
    <row r="27" spans="9:9" x14ac:dyDescent="0.5">
      <c r="I27" s="6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BF82-DD4B-4D89-9D02-E82D158E3C2E}">
  <dimension ref="A1:G116"/>
  <sheetViews>
    <sheetView zoomScale="55" zoomScaleNormal="55" workbookViewId="0">
      <selection activeCell="B2" sqref="B2"/>
    </sheetView>
  </sheetViews>
  <sheetFormatPr defaultColWidth="8.29296875" defaultRowHeight="13" x14ac:dyDescent="0.45"/>
  <cols>
    <col min="1" max="1" width="21.8203125" style="72" bestFit="1" customWidth="1"/>
    <col min="2" max="2" width="16" style="72" bestFit="1" customWidth="1"/>
    <col min="3" max="3" width="15.8203125" style="72" customWidth="1"/>
    <col min="4" max="4" width="25.05859375" style="72" customWidth="1"/>
    <col min="5" max="5" width="16.703125" style="72" customWidth="1"/>
    <col min="6" max="6" width="11.9375" style="72" customWidth="1"/>
    <col min="7" max="7" width="14.41015625" style="72" customWidth="1"/>
    <col min="8" max="8" width="18.5859375" style="72" bestFit="1" customWidth="1"/>
    <col min="9" max="16384" width="8.29296875" style="72"/>
  </cols>
  <sheetData>
    <row r="1" spans="1:7" ht="13.35" thickBot="1" x14ac:dyDescent="0.5">
      <c r="A1" s="70" t="s">
        <v>38</v>
      </c>
      <c r="B1" s="71">
        <f>Summary!L5</f>
        <v>46387</v>
      </c>
    </row>
    <row r="3" spans="1:7" x14ac:dyDescent="0.45">
      <c r="A3" s="73" t="s">
        <v>58</v>
      </c>
      <c r="B3" s="73" t="s">
        <v>59</v>
      </c>
      <c r="C3" s="73" t="s">
        <v>60</v>
      </c>
      <c r="D3" s="74" t="s">
        <v>38</v>
      </c>
      <c r="E3" s="75" t="s">
        <v>61</v>
      </c>
      <c r="F3" s="72" t="s">
        <v>62</v>
      </c>
      <c r="G3" s="73" t="s">
        <v>63</v>
      </c>
    </row>
    <row r="4" spans="1:7" x14ac:dyDescent="0.45">
      <c r="A4" s="76" t="s">
        <v>64</v>
      </c>
      <c r="B4" s="77">
        <v>2169.0700000000002</v>
      </c>
      <c r="C4" s="78">
        <v>42327</v>
      </c>
      <c r="D4" s="79">
        <f>B1</f>
        <v>46387</v>
      </c>
      <c r="E4" s="72">
        <f>_xlfn.DAYS(D4,C4)</f>
        <v>4060</v>
      </c>
      <c r="F4" s="72">
        <f>E4/365</f>
        <v>11.123287671232877</v>
      </c>
      <c r="G4" s="80">
        <f>B4*(1.075^F4)</f>
        <v>4848.8522506105992</v>
      </c>
    </row>
    <row r="5" spans="1:7" x14ac:dyDescent="0.45">
      <c r="A5" s="76" t="s">
        <v>65</v>
      </c>
      <c r="B5" s="77">
        <v>8500</v>
      </c>
      <c r="C5" s="78">
        <v>42360</v>
      </c>
      <c r="D5" s="79">
        <f t="shared" ref="D5:D68" si="0">D4</f>
        <v>46387</v>
      </c>
      <c r="E5" s="72">
        <f t="shared" ref="E5:E68" si="1">_xlfn.DAYS(D5,C5)</f>
        <v>4027</v>
      </c>
      <c r="F5" s="72">
        <f t="shared" ref="F5:F68" si="2">E5/365</f>
        <v>11.032876712328767</v>
      </c>
      <c r="G5" s="80">
        <f t="shared" ref="G5:G68" si="3">B5*(1.075^F5)</f>
        <v>18877.506980200313</v>
      </c>
    </row>
    <row r="6" spans="1:7" x14ac:dyDescent="0.45">
      <c r="A6" s="76" t="s">
        <v>64</v>
      </c>
      <c r="B6" s="77">
        <v>1405.57</v>
      </c>
      <c r="C6" s="78">
        <v>42383</v>
      </c>
      <c r="D6" s="79">
        <f t="shared" si="0"/>
        <v>46387</v>
      </c>
      <c r="E6" s="72">
        <f t="shared" si="1"/>
        <v>4004</v>
      </c>
      <c r="F6" s="72">
        <f t="shared" si="2"/>
        <v>10.96986301369863</v>
      </c>
      <c r="G6" s="80">
        <f t="shared" si="3"/>
        <v>3107.413366128068</v>
      </c>
    </row>
    <row r="7" spans="1:7" x14ac:dyDescent="0.45">
      <c r="A7" s="76" t="s">
        <v>64</v>
      </c>
      <c r="B7" s="77">
        <v>419.7</v>
      </c>
      <c r="C7" s="78">
        <v>42415</v>
      </c>
      <c r="D7" s="79">
        <f t="shared" si="0"/>
        <v>46387</v>
      </c>
      <c r="E7" s="72">
        <f t="shared" si="1"/>
        <v>3972</v>
      </c>
      <c r="F7" s="72">
        <f t="shared" si="2"/>
        <v>10.882191780821918</v>
      </c>
      <c r="G7" s="80">
        <f t="shared" si="3"/>
        <v>922.0020798576553</v>
      </c>
    </row>
    <row r="8" spans="1:7" x14ac:dyDescent="0.45">
      <c r="A8" s="76" t="s">
        <v>64</v>
      </c>
      <c r="B8" s="77">
        <v>4133.3</v>
      </c>
      <c r="C8" s="78">
        <v>42443</v>
      </c>
      <c r="D8" s="79">
        <f t="shared" si="0"/>
        <v>46387</v>
      </c>
      <c r="E8" s="72">
        <f t="shared" si="1"/>
        <v>3944</v>
      </c>
      <c r="F8" s="72">
        <f t="shared" si="2"/>
        <v>10.805479452054794</v>
      </c>
      <c r="G8" s="80">
        <f t="shared" si="3"/>
        <v>9029.8480681238325</v>
      </c>
    </row>
    <row r="9" spans="1:7" x14ac:dyDescent="0.45">
      <c r="A9" s="76" t="s">
        <v>64</v>
      </c>
      <c r="B9" s="77">
        <v>5186.1000000000004</v>
      </c>
      <c r="C9" s="78">
        <v>42488</v>
      </c>
      <c r="D9" s="79">
        <f t="shared" si="0"/>
        <v>46387</v>
      </c>
      <c r="E9" s="72">
        <f t="shared" si="1"/>
        <v>3899</v>
      </c>
      <c r="F9" s="72">
        <f t="shared" si="2"/>
        <v>10.682191780821919</v>
      </c>
      <c r="G9" s="80">
        <f t="shared" si="3"/>
        <v>11229.285542882291</v>
      </c>
    </row>
    <row r="10" spans="1:7" x14ac:dyDescent="0.45">
      <c r="A10" s="76" t="s">
        <v>64</v>
      </c>
      <c r="B10" s="77">
        <v>1105.2</v>
      </c>
      <c r="C10" s="78">
        <v>42523</v>
      </c>
      <c r="D10" s="79">
        <f t="shared" si="0"/>
        <v>46387</v>
      </c>
      <c r="E10" s="72">
        <f t="shared" si="1"/>
        <v>3864</v>
      </c>
      <c r="F10" s="72">
        <f t="shared" si="2"/>
        <v>10.586301369863014</v>
      </c>
      <c r="G10" s="80">
        <f t="shared" si="3"/>
        <v>2376.5138211581648</v>
      </c>
    </row>
    <row r="11" spans="1:7" x14ac:dyDescent="0.45">
      <c r="A11" s="76" t="s">
        <v>64</v>
      </c>
      <c r="B11" s="77">
        <v>551.70000000000005</v>
      </c>
      <c r="C11" s="78">
        <v>42534</v>
      </c>
      <c r="D11" s="79">
        <f t="shared" si="0"/>
        <v>46387</v>
      </c>
      <c r="E11" s="72">
        <f t="shared" si="1"/>
        <v>3853</v>
      </c>
      <c r="F11" s="72">
        <f t="shared" si="2"/>
        <v>10.556164383561644</v>
      </c>
      <c r="G11" s="80">
        <f t="shared" si="3"/>
        <v>1183.7388346155465</v>
      </c>
    </row>
    <row r="12" spans="1:7" x14ac:dyDescent="0.45">
      <c r="A12" s="76" t="s">
        <v>66</v>
      </c>
      <c r="B12" s="77">
        <v>2400</v>
      </c>
      <c r="C12" s="78">
        <v>42551</v>
      </c>
      <c r="D12" s="79">
        <f t="shared" si="0"/>
        <v>46387</v>
      </c>
      <c r="E12" s="72">
        <f t="shared" si="1"/>
        <v>3836</v>
      </c>
      <c r="F12" s="72">
        <f t="shared" si="2"/>
        <v>10.509589041095891</v>
      </c>
      <c r="G12" s="80">
        <f t="shared" si="3"/>
        <v>5132.1730692646506</v>
      </c>
    </row>
    <row r="13" spans="1:7" x14ac:dyDescent="0.45">
      <c r="A13" s="76" t="s">
        <v>64</v>
      </c>
      <c r="B13" s="77">
        <v>861.3</v>
      </c>
      <c r="C13" s="78">
        <v>42565</v>
      </c>
      <c r="D13" s="79">
        <f t="shared" si="0"/>
        <v>46387</v>
      </c>
      <c r="E13" s="72">
        <f t="shared" si="1"/>
        <v>3822</v>
      </c>
      <c r="F13" s="72">
        <f t="shared" si="2"/>
        <v>10.471232876712328</v>
      </c>
      <c r="G13" s="80">
        <f t="shared" si="3"/>
        <v>1836.7066173826886</v>
      </c>
    </row>
    <row r="14" spans="1:7" x14ac:dyDescent="0.45">
      <c r="A14" s="76" t="s">
        <v>65</v>
      </c>
      <c r="B14" s="77">
        <v>1514.3</v>
      </c>
      <c r="C14" s="78">
        <v>42586</v>
      </c>
      <c r="D14" s="79">
        <f t="shared" si="0"/>
        <v>46387</v>
      </c>
      <c r="E14" s="72">
        <f t="shared" si="1"/>
        <v>3801</v>
      </c>
      <c r="F14" s="72">
        <f t="shared" si="2"/>
        <v>10.413698630136986</v>
      </c>
      <c r="G14" s="80">
        <f t="shared" si="3"/>
        <v>3215.8086829117856</v>
      </c>
    </row>
    <row r="15" spans="1:7" x14ac:dyDescent="0.45">
      <c r="A15" s="76" t="s">
        <v>64</v>
      </c>
      <c r="B15" s="77">
        <v>1251.3499999999999</v>
      </c>
      <c r="C15" s="78">
        <v>42611</v>
      </c>
      <c r="D15" s="79">
        <f t="shared" si="0"/>
        <v>46387</v>
      </c>
      <c r="E15" s="72">
        <f t="shared" si="1"/>
        <v>3776</v>
      </c>
      <c r="F15" s="72">
        <f t="shared" si="2"/>
        <v>10.345205479452055</v>
      </c>
      <c r="G15" s="80">
        <f t="shared" si="3"/>
        <v>2644.2701010273572</v>
      </c>
    </row>
    <row r="16" spans="1:7" x14ac:dyDescent="0.45">
      <c r="A16" s="76" t="s">
        <v>64</v>
      </c>
      <c r="B16" s="77">
        <v>2823.95</v>
      </c>
      <c r="C16" s="78">
        <v>42632</v>
      </c>
      <c r="D16" s="79">
        <f t="shared" si="0"/>
        <v>46387</v>
      </c>
      <c r="E16" s="72">
        <f t="shared" si="1"/>
        <v>3755</v>
      </c>
      <c r="F16" s="72">
        <f t="shared" si="2"/>
        <v>10.287671232876713</v>
      </c>
      <c r="G16" s="80">
        <f t="shared" si="3"/>
        <v>5942.6062737377815</v>
      </c>
    </row>
    <row r="17" spans="1:7" x14ac:dyDescent="0.45">
      <c r="A17" s="76" t="s">
        <v>64</v>
      </c>
      <c r="B17" s="77">
        <v>7091.45</v>
      </c>
      <c r="C17" s="78">
        <v>42657</v>
      </c>
      <c r="D17" s="79">
        <f t="shared" si="0"/>
        <v>46387</v>
      </c>
      <c r="E17" s="72">
        <f t="shared" si="1"/>
        <v>3730</v>
      </c>
      <c r="F17" s="72">
        <f t="shared" si="2"/>
        <v>10.219178082191782</v>
      </c>
      <c r="G17" s="80">
        <f t="shared" si="3"/>
        <v>14849.223179524466</v>
      </c>
    </row>
    <row r="18" spans="1:7" x14ac:dyDescent="0.45">
      <c r="A18" s="76" t="s">
        <v>64</v>
      </c>
      <c r="B18" s="77">
        <v>16393.740000000002</v>
      </c>
      <c r="C18" s="78">
        <v>42692</v>
      </c>
      <c r="D18" s="79">
        <f t="shared" si="0"/>
        <v>46387</v>
      </c>
      <c r="E18" s="72">
        <f t="shared" si="1"/>
        <v>3695</v>
      </c>
      <c r="F18" s="72">
        <f t="shared" si="2"/>
        <v>10.123287671232877</v>
      </c>
      <c r="G18" s="80">
        <f t="shared" si="3"/>
        <v>34090.624883571909</v>
      </c>
    </row>
    <row r="19" spans="1:7" x14ac:dyDescent="0.45">
      <c r="A19" s="76" t="s">
        <v>65</v>
      </c>
      <c r="B19" s="77">
        <v>3018.25</v>
      </c>
      <c r="C19" s="78">
        <v>42692</v>
      </c>
      <c r="D19" s="79">
        <f t="shared" si="0"/>
        <v>46387</v>
      </c>
      <c r="E19" s="72">
        <f t="shared" si="1"/>
        <v>3695</v>
      </c>
      <c r="F19" s="72">
        <f t="shared" si="2"/>
        <v>10.123287671232877</v>
      </c>
      <c r="G19" s="80">
        <f t="shared" si="3"/>
        <v>6276.4218875522547</v>
      </c>
    </row>
    <row r="20" spans="1:7" x14ac:dyDescent="0.45">
      <c r="A20" s="76" t="s">
        <v>64</v>
      </c>
      <c r="B20" s="77">
        <v>10614.68</v>
      </c>
      <c r="C20" s="78">
        <v>42710</v>
      </c>
      <c r="D20" s="79">
        <f t="shared" si="0"/>
        <v>46387</v>
      </c>
      <c r="E20" s="72">
        <f t="shared" si="1"/>
        <v>3677</v>
      </c>
      <c r="F20" s="72">
        <f t="shared" si="2"/>
        <v>10.073972602739726</v>
      </c>
      <c r="G20" s="80">
        <f t="shared" si="3"/>
        <v>21994.541568392659</v>
      </c>
    </row>
    <row r="21" spans="1:7" x14ac:dyDescent="0.45">
      <c r="A21" s="76" t="s">
        <v>67</v>
      </c>
      <c r="B21" s="81">
        <v>3395883.98</v>
      </c>
      <c r="C21" s="82">
        <v>42720</v>
      </c>
      <c r="D21" s="79">
        <f t="shared" si="0"/>
        <v>46387</v>
      </c>
      <c r="E21" s="72">
        <f t="shared" si="1"/>
        <v>3667</v>
      </c>
      <c r="F21" s="72">
        <f t="shared" si="2"/>
        <v>10.046575342465754</v>
      </c>
      <c r="G21" s="80">
        <f t="shared" si="3"/>
        <v>7022639.0435330942</v>
      </c>
    </row>
    <row r="22" spans="1:7" x14ac:dyDescent="0.45">
      <c r="A22" s="76" t="s">
        <v>68</v>
      </c>
      <c r="B22" s="81">
        <v>778174.56</v>
      </c>
      <c r="C22" s="82">
        <v>42720</v>
      </c>
      <c r="D22" s="79">
        <f t="shared" si="0"/>
        <v>46387</v>
      </c>
      <c r="E22" s="72">
        <f t="shared" si="1"/>
        <v>3667</v>
      </c>
      <c r="F22" s="72">
        <f t="shared" si="2"/>
        <v>10.046575342465754</v>
      </c>
      <c r="G22" s="80">
        <f t="shared" si="3"/>
        <v>1609253.7554066221</v>
      </c>
    </row>
    <row r="23" spans="1:7" x14ac:dyDescent="0.45">
      <c r="A23" s="76" t="s">
        <v>65</v>
      </c>
      <c r="B23" s="77">
        <v>2000</v>
      </c>
      <c r="C23" s="78">
        <v>42726</v>
      </c>
      <c r="D23" s="79">
        <f>D21</f>
        <v>46387</v>
      </c>
      <c r="E23" s="72">
        <f t="shared" si="1"/>
        <v>3661</v>
      </c>
      <c r="F23" s="72">
        <f t="shared" si="2"/>
        <v>10.03013698630137</v>
      </c>
      <c r="G23" s="80">
        <f t="shared" si="3"/>
        <v>4131.0570690393224</v>
      </c>
    </row>
    <row r="24" spans="1:7" x14ac:dyDescent="0.45">
      <c r="A24" s="76" t="s">
        <v>64</v>
      </c>
      <c r="B24" s="77">
        <v>11944.97</v>
      </c>
      <c r="C24" s="78">
        <v>42747</v>
      </c>
      <c r="D24" s="79">
        <f t="shared" si="0"/>
        <v>46387</v>
      </c>
      <c r="E24" s="72">
        <f t="shared" si="1"/>
        <v>3640</v>
      </c>
      <c r="F24" s="72">
        <f t="shared" si="2"/>
        <v>9.9726027397260282</v>
      </c>
      <c r="G24" s="80">
        <f t="shared" si="3"/>
        <v>24570.228760988924</v>
      </c>
    </row>
    <row r="25" spans="1:7" x14ac:dyDescent="0.45">
      <c r="A25" s="76" t="s">
        <v>65</v>
      </c>
      <c r="B25" s="77">
        <v>17018.759999999998</v>
      </c>
      <c r="C25" s="78">
        <v>42824</v>
      </c>
      <c r="D25" s="79">
        <f t="shared" si="0"/>
        <v>46387</v>
      </c>
      <c r="E25" s="72">
        <f t="shared" si="1"/>
        <v>3563</v>
      </c>
      <c r="F25" s="72">
        <f t="shared" si="2"/>
        <v>9.7616438356164377</v>
      </c>
      <c r="G25" s="80">
        <f t="shared" si="3"/>
        <v>34476.736950934297</v>
      </c>
    </row>
    <row r="26" spans="1:7" x14ac:dyDescent="0.45">
      <c r="A26" s="76" t="s">
        <v>64</v>
      </c>
      <c r="B26" s="77">
        <v>1816.5</v>
      </c>
      <c r="C26" s="78">
        <v>42900</v>
      </c>
      <c r="D26" s="79">
        <f t="shared" si="0"/>
        <v>46387</v>
      </c>
      <c r="E26" s="72">
        <f t="shared" si="1"/>
        <v>3487</v>
      </c>
      <c r="F26" s="72">
        <f t="shared" si="2"/>
        <v>9.5534246575342472</v>
      </c>
      <c r="G26" s="80">
        <f t="shared" si="3"/>
        <v>3624.8813772831254</v>
      </c>
    </row>
    <row r="27" spans="1:7" x14ac:dyDescent="0.45">
      <c r="A27" s="76" t="s">
        <v>69</v>
      </c>
      <c r="B27" s="77">
        <v>4377.22</v>
      </c>
      <c r="C27" s="78">
        <v>43004</v>
      </c>
      <c r="D27" s="79">
        <f t="shared" si="0"/>
        <v>46387</v>
      </c>
      <c r="E27" s="72">
        <f t="shared" si="1"/>
        <v>3383</v>
      </c>
      <c r="F27" s="72">
        <f t="shared" si="2"/>
        <v>9.2684931506849306</v>
      </c>
      <c r="G27" s="80">
        <f t="shared" si="3"/>
        <v>8556.7237395797347</v>
      </c>
    </row>
    <row r="28" spans="1:7" x14ac:dyDescent="0.45">
      <c r="A28" s="76" t="s">
        <v>64</v>
      </c>
      <c r="B28" s="77">
        <v>1422.1</v>
      </c>
      <c r="C28" s="78">
        <v>43034</v>
      </c>
      <c r="D28" s="79">
        <f t="shared" si="0"/>
        <v>46387</v>
      </c>
      <c r="E28" s="72">
        <f t="shared" si="1"/>
        <v>3353</v>
      </c>
      <c r="F28" s="72">
        <f t="shared" si="2"/>
        <v>9.1863013698630134</v>
      </c>
      <c r="G28" s="80">
        <f t="shared" si="3"/>
        <v>2763.4890915022606</v>
      </c>
    </row>
    <row r="29" spans="1:7" x14ac:dyDescent="0.45">
      <c r="A29" s="76" t="s">
        <v>69</v>
      </c>
      <c r="B29" s="77">
        <v>5665.47</v>
      </c>
      <c r="C29" s="78">
        <v>43034</v>
      </c>
      <c r="D29" s="79">
        <f t="shared" si="0"/>
        <v>46387</v>
      </c>
      <c r="E29" s="72">
        <f t="shared" si="1"/>
        <v>3353</v>
      </c>
      <c r="F29" s="72">
        <f t="shared" si="2"/>
        <v>9.1863013698630134</v>
      </c>
      <c r="G29" s="80">
        <f t="shared" si="3"/>
        <v>11009.397752080242</v>
      </c>
    </row>
    <row r="30" spans="1:7" x14ac:dyDescent="0.45">
      <c r="A30" s="76" t="s">
        <v>69</v>
      </c>
      <c r="B30" s="77">
        <v>18066.63</v>
      </c>
      <c r="C30" s="78">
        <v>43067</v>
      </c>
      <c r="D30" s="79">
        <f t="shared" si="0"/>
        <v>46387</v>
      </c>
      <c r="E30" s="72">
        <f t="shared" si="1"/>
        <v>3320</v>
      </c>
      <c r="F30" s="72">
        <f t="shared" si="2"/>
        <v>9.0958904109589049</v>
      </c>
      <c r="G30" s="80">
        <f t="shared" si="3"/>
        <v>34879.086274235306</v>
      </c>
    </row>
    <row r="31" spans="1:7" x14ac:dyDescent="0.45">
      <c r="A31" s="76" t="s">
        <v>69</v>
      </c>
      <c r="B31" s="77">
        <v>19693.32</v>
      </c>
      <c r="C31" s="78">
        <v>43105</v>
      </c>
      <c r="D31" s="79">
        <f t="shared" si="0"/>
        <v>46387</v>
      </c>
      <c r="E31" s="72">
        <f t="shared" si="1"/>
        <v>3282</v>
      </c>
      <c r="F31" s="72">
        <f t="shared" si="2"/>
        <v>8.9917808219178088</v>
      </c>
      <c r="G31" s="80">
        <f t="shared" si="3"/>
        <v>37734.357907836027</v>
      </c>
    </row>
    <row r="32" spans="1:7" x14ac:dyDescent="0.45">
      <c r="A32" s="76" t="s">
        <v>70</v>
      </c>
      <c r="B32" s="83">
        <v>42123.87</v>
      </c>
      <c r="C32" s="82">
        <v>43131</v>
      </c>
      <c r="D32" s="79">
        <f t="shared" si="0"/>
        <v>46387</v>
      </c>
      <c r="E32" s="72">
        <f t="shared" si="1"/>
        <v>3256</v>
      </c>
      <c r="F32" s="72">
        <f t="shared" si="2"/>
        <v>8.9205479452054792</v>
      </c>
      <c r="G32" s="80">
        <f t="shared" si="3"/>
        <v>80298.785189373099</v>
      </c>
    </row>
    <row r="33" spans="1:7" x14ac:dyDescent="0.45">
      <c r="A33" s="76" t="s">
        <v>70</v>
      </c>
      <c r="B33" s="83">
        <v>2143.2399999999998</v>
      </c>
      <c r="C33" s="82">
        <v>43131</v>
      </c>
      <c r="D33" s="79">
        <f t="shared" si="0"/>
        <v>46387</v>
      </c>
      <c r="E33" s="72">
        <f t="shared" si="1"/>
        <v>3256</v>
      </c>
      <c r="F33" s="72">
        <f t="shared" si="2"/>
        <v>8.9205479452054792</v>
      </c>
      <c r="G33" s="80">
        <f t="shared" si="3"/>
        <v>4085.5592890508865</v>
      </c>
    </row>
    <row r="34" spans="1:7" x14ac:dyDescent="0.45">
      <c r="A34" s="76" t="s">
        <v>70</v>
      </c>
      <c r="B34" s="83">
        <v>3208.46</v>
      </c>
      <c r="C34" s="82">
        <v>43131</v>
      </c>
      <c r="D34" s="79">
        <f t="shared" si="0"/>
        <v>46387</v>
      </c>
      <c r="E34" s="72">
        <f t="shared" si="1"/>
        <v>3256</v>
      </c>
      <c r="F34" s="72">
        <f t="shared" si="2"/>
        <v>8.9205479452054792</v>
      </c>
      <c r="G34" s="80">
        <f t="shared" si="3"/>
        <v>6116.1389095706545</v>
      </c>
    </row>
    <row r="35" spans="1:7" x14ac:dyDescent="0.45">
      <c r="A35" s="76" t="s">
        <v>69</v>
      </c>
      <c r="B35" s="77">
        <v>18914.55</v>
      </c>
      <c r="C35" s="78">
        <v>43140</v>
      </c>
      <c r="D35" s="79">
        <f t="shared" si="0"/>
        <v>46387</v>
      </c>
      <c r="E35" s="72">
        <f t="shared" si="1"/>
        <v>3247</v>
      </c>
      <c r="F35" s="72">
        <f t="shared" si="2"/>
        <v>8.8958904109589039</v>
      </c>
      <c r="G35" s="80">
        <f t="shared" si="3"/>
        <v>35991.692466992201</v>
      </c>
    </row>
    <row r="36" spans="1:7" x14ac:dyDescent="0.45">
      <c r="A36" s="76" t="s">
        <v>65</v>
      </c>
      <c r="B36" s="77">
        <v>4275.83</v>
      </c>
      <c r="C36" s="78">
        <v>43158</v>
      </c>
      <c r="D36" s="79">
        <f t="shared" si="0"/>
        <v>46387</v>
      </c>
      <c r="E36" s="72">
        <f t="shared" si="1"/>
        <v>3229</v>
      </c>
      <c r="F36" s="72">
        <f t="shared" si="2"/>
        <v>8.8465753424657532</v>
      </c>
      <c r="G36" s="80">
        <f t="shared" si="3"/>
        <v>8107.328592011093</v>
      </c>
    </row>
    <row r="37" spans="1:7" x14ac:dyDescent="0.45">
      <c r="A37" s="76" t="s">
        <v>69</v>
      </c>
      <c r="B37" s="77">
        <v>9062.81</v>
      </c>
      <c r="C37" s="78">
        <v>43182</v>
      </c>
      <c r="D37" s="79">
        <f t="shared" si="0"/>
        <v>46387</v>
      </c>
      <c r="E37" s="72">
        <f t="shared" si="1"/>
        <v>3205</v>
      </c>
      <c r="F37" s="72">
        <f t="shared" si="2"/>
        <v>8.7808219178082183</v>
      </c>
      <c r="G37" s="80">
        <f t="shared" si="3"/>
        <v>17102.319144550918</v>
      </c>
    </row>
    <row r="38" spans="1:7" x14ac:dyDescent="0.45">
      <c r="A38" s="76" t="s">
        <v>65</v>
      </c>
      <c r="B38" s="77">
        <v>300</v>
      </c>
      <c r="C38" s="78">
        <v>43195</v>
      </c>
      <c r="D38" s="79">
        <f t="shared" si="0"/>
        <v>46387</v>
      </c>
      <c r="E38" s="72">
        <f t="shared" si="1"/>
        <v>3192</v>
      </c>
      <c r="F38" s="72">
        <f t="shared" si="2"/>
        <v>8.7452054794520553</v>
      </c>
      <c r="G38" s="80">
        <f t="shared" si="3"/>
        <v>564.67001742896741</v>
      </c>
    </row>
    <row r="39" spans="1:7" x14ac:dyDescent="0.45">
      <c r="A39" s="76" t="s">
        <v>69</v>
      </c>
      <c r="B39" s="77">
        <v>20838.77</v>
      </c>
      <c r="C39" s="78">
        <v>43203</v>
      </c>
      <c r="D39" s="79">
        <f t="shared" si="0"/>
        <v>46387</v>
      </c>
      <c r="E39" s="72">
        <f t="shared" si="1"/>
        <v>3184</v>
      </c>
      <c r="F39" s="72">
        <f t="shared" si="2"/>
        <v>8.7232876712328764</v>
      </c>
      <c r="G39" s="80">
        <f t="shared" si="3"/>
        <v>39161.304515761425</v>
      </c>
    </row>
    <row r="40" spans="1:7" x14ac:dyDescent="0.45">
      <c r="A40" s="76" t="s">
        <v>65</v>
      </c>
      <c r="B40" s="77">
        <v>706.6</v>
      </c>
      <c r="C40" s="78">
        <v>43222</v>
      </c>
      <c r="D40" s="79">
        <f t="shared" si="0"/>
        <v>46387</v>
      </c>
      <c r="E40" s="72">
        <f t="shared" si="1"/>
        <v>3165</v>
      </c>
      <c r="F40" s="72">
        <f t="shared" si="2"/>
        <v>8.6712328767123292</v>
      </c>
      <c r="G40" s="80">
        <f t="shared" si="3"/>
        <v>1322.8900224765262</v>
      </c>
    </row>
    <row r="41" spans="1:7" x14ac:dyDescent="0.45">
      <c r="A41" s="76" t="s">
        <v>69</v>
      </c>
      <c r="B41" s="77">
        <v>19241.689999999999</v>
      </c>
      <c r="C41" s="78">
        <v>43238</v>
      </c>
      <c r="D41" s="79">
        <f t="shared" si="0"/>
        <v>46387</v>
      </c>
      <c r="E41" s="72">
        <f t="shared" si="1"/>
        <v>3149</v>
      </c>
      <c r="F41" s="72">
        <f t="shared" si="2"/>
        <v>8.6273972602739732</v>
      </c>
      <c r="G41" s="80">
        <f t="shared" si="3"/>
        <v>35910.091518660491</v>
      </c>
    </row>
    <row r="42" spans="1:7" x14ac:dyDescent="0.45">
      <c r="A42" s="76" t="s">
        <v>65</v>
      </c>
      <c r="B42" s="77">
        <v>210</v>
      </c>
      <c r="C42" s="78">
        <v>43258</v>
      </c>
      <c r="D42" s="79">
        <f t="shared" si="0"/>
        <v>46387</v>
      </c>
      <c r="E42" s="72">
        <f t="shared" si="1"/>
        <v>3129</v>
      </c>
      <c r="F42" s="72">
        <f t="shared" si="2"/>
        <v>8.5726027397260278</v>
      </c>
      <c r="G42" s="80">
        <f t="shared" si="3"/>
        <v>390.36563763564271</v>
      </c>
    </row>
    <row r="43" spans="1:7" x14ac:dyDescent="0.45">
      <c r="A43" s="76" t="s">
        <v>69</v>
      </c>
      <c r="B43" s="77">
        <v>7883.9</v>
      </c>
      <c r="C43" s="78">
        <v>43270</v>
      </c>
      <c r="D43" s="79">
        <f t="shared" si="0"/>
        <v>46387</v>
      </c>
      <c r="E43" s="72">
        <f t="shared" si="1"/>
        <v>3117</v>
      </c>
      <c r="F43" s="72">
        <f t="shared" si="2"/>
        <v>8.5397260273972595</v>
      </c>
      <c r="G43" s="80">
        <f t="shared" si="3"/>
        <v>14620.451574646717</v>
      </c>
    </row>
    <row r="44" spans="1:7" x14ac:dyDescent="0.45">
      <c r="A44" s="76" t="s">
        <v>69</v>
      </c>
      <c r="B44" s="77">
        <v>6309.86</v>
      </c>
      <c r="C44" s="78">
        <v>43294</v>
      </c>
      <c r="D44" s="79">
        <f t="shared" si="0"/>
        <v>46387</v>
      </c>
      <c r="E44" s="72">
        <f t="shared" si="1"/>
        <v>3093</v>
      </c>
      <c r="F44" s="72">
        <f t="shared" si="2"/>
        <v>8.4739726027397264</v>
      </c>
      <c r="G44" s="80">
        <f t="shared" si="3"/>
        <v>11645.930365572311</v>
      </c>
    </row>
    <row r="45" spans="1:7" x14ac:dyDescent="0.45">
      <c r="A45" s="76" t="s">
        <v>64</v>
      </c>
      <c r="B45" s="77">
        <v>1424</v>
      </c>
      <c r="C45" s="78">
        <v>43322</v>
      </c>
      <c r="D45" s="79">
        <f t="shared" si="0"/>
        <v>46387</v>
      </c>
      <c r="E45" s="72">
        <f t="shared" si="1"/>
        <v>3065</v>
      </c>
      <c r="F45" s="72">
        <f t="shared" si="2"/>
        <v>8.3972602739726021</v>
      </c>
      <c r="G45" s="80">
        <f t="shared" si="3"/>
        <v>2613.6957906006542</v>
      </c>
    </row>
    <row r="46" spans="1:7" x14ac:dyDescent="0.45">
      <c r="A46" s="76" t="s">
        <v>69</v>
      </c>
      <c r="B46" s="77">
        <v>47392.67</v>
      </c>
      <c r="C46" s="78">
        <v>43327</v>
      </c>
      <c r="D46" s="79">
        <f t="shared" si="0"/>
        <v>46387</v>
      </c>
      <c r="E46" s="72">
        <f t="shared" si="1"/>
        <v>3060</v>
      </c>
      <c r="F46" s="72">
        <f t="shared" si="2"/>
        <v>8.3835616438356162</v>
      </c>
      <c r="G46" s="80">
        <f t="shared" si="3"/>
        <v>86901.239863027367</v>
      </c>
    </row>
    <row r="47" spans="1:7" x14ac:dyDescent="0.45">
      <c r="A47" s="76" t="s">
        <v>69</v>
      </c>
      <c r="B47" s="77">
        <v>27412.1</v>
      </c>
      <c r="C47" s="78">
        <v>43341</v>
      </c>
      <c r="D47" s="79">
        <f t="shared" si="0"/>
        <v>46387</v>
      </c>
      <c r="E47" s="72">
        <f t="shared" si="1"/>
        <v>3046</v>
      </c>
      <c r="F47" s="72">
        <f t="shared" si="2"/>
        <v>8.3452054794520549</v>
      </c>
      <c r="G47" s="80">
        <f t="shared" si="3"/>
        <v>50124.770298675699</v>
      </c>
    </row>
    <row r="48" spans="1:7" x14ac:dyDescent="0.45">
      <c r="A48" s="76" t="s">
        <v>65</v>
      </c>
      <c r="B48" s="77">
        <v>968.75</v>
      </c>
      <c r="C48" s="78">
        <v>43371</v>
      </c>
      <c r="D48" s="79">
        <f t="shared" si="0"/>
        <v>46387</v>
      </c>
      <c r="E48" s="72">
        <f t="shared" si="1"/>
        <v>3016</v>
      </c>
      <c r="F48" s="72">
        <f t="shared" si="2"/>
        <v>8.2630136986301377</v>
      </c>
      <c r="G48" s="80">
        <f t="shared" si="3"/>
        <v>1760.9226753033129</v>
      </c>
    </row>
    <row r="49" spans="1:7" x14ac:dyDescent="0.45">
      <c r="A49" s="76" t="s">
        <v>69</v>
      </c>
      <c r="B49" s="77">
        <v>6701.92</v>
      </c>
      <c r="C49" s="78">
        <v>43378</v>
      </c>
      <c r="D49" s="79">
        <f t="shared" si="0"/>
        <v>46387</v>
      </c>
      <c r="E49" s="72">
        <f t="shared" si="1"/>
        <v>3009</v>
      </c>
      <c r="F49" s="72">
        <f t="shared" si="2"/>
        <v>8.2438356164383571</v>
      </c>
      <c r="G49" s="80">
        <f t="shared" si="3"/>
        <v>12165.373738963346</v>
      </c>
    </row>
    <row r="50" spans="1:7" x14ac:dyDescent="0.45">
      <c r="A50" s="76" t="s">
        <v>69</v>
      </c>
      <c r="B50" s="77">
        <v>3711.65</v>
      </c>
      <c r="C50" s="78">
        <v>43420</v>
      </c>
      <c r="D50" s="79">
        <f t="shared" si="0"/>
        <v>46387</v>
      </c>
      <c r="E50" s="72">
        <f t="shared" si="1"/>
        <v>2967</v>
      </c>
      <c r="F50" s="72">
        <f t="shared" si="2"/>
        <v>8.1287671232876715</v>
      </c>
      <c r="G50" s="80">
        <f t="shared" si="3"/>
        <v>6681.5790067276648</v>
      </c>
    </row>
    <row r="51" spans="1:7" x14ac:dyDescent="0.45">
      <c r="A51" s="76" t="s">
        <v>64</v>
      </c>
      <c r="B51" s="77">
        <v>43.2</v>
      </c>
      <c r="C51" s="78">
        <v>43439</v>
      </c>
      <c r="D51" s="79">
        <f t="shared" si="0"/>
        <v>46387</v>
      </c>
      <c r="E51" s="72">
        <f t="shared" si="1"/>
        <v>2948</v>
      </c>
      <c r="F51" s="72">
        <f t="shared" si="2"/>
        <v>8.0767123287671225</v>
      </c>
      <c r="G51" s="80">
        <f t="shared" si="3"/>
        <v>77.474873760866856</v>
      </c>
    </row>
    <row r="52" spans="1:7" x14ac:dyDescent="0.45">
      <c r="A52" s="76" t="s">
        <v>69</v>
      </c>
      <c r="B52" s="77">
        <v>2324.02</v>
      </c>
      <c r="C52" s="78">
        <v>43446</v>
      </c>
      <c r="D52" s="79">
        <f t="shared" si="0"/>
        <v>46387</v>
      </c>
      <c r="E52" s="72">
        <f t="shared" si="1"/>
        <v>2941</v>
      </c>
      <c r="F52" s="72">
        <f t="shared" si="2"/>
        <v>8.0575342465753419</v>
      </c>
      <c r="G52" s="80">
        <f t="shared" si="3"/>
        <v>4162.1203844528327</v>
      </c>
    </row>
    <row r="53" spans="1:7" x14ac:dyDescent="0.45">
      <c r="A53" s="76" t="s">
        <v>64</v>
      </c>
      <c r="B53" s="77">
        <v>136.96</v>
      </c>
      <c r="C53" s="78">
        <v>43454</v>
      </c>
      <c r="D53" s="79">
        <f t="shared" si="0"/>
        <v>46387</v>
      </c>
      <c r="E53" s="72">
        <f t="shared" si="1"/>
        <v>2933</v>
      </c>
      <c r="F53" s="72">
        <f t="shared" si="2"/>
        <v>8.0356164383561648</v>
      </c>
      <c r="G53" s="80">
        <f t="shared" si="3"/>
        <v>244.89511318126142</v>
      </c>
    </row>
    <row r="54" spans="1:7" x14ac:dyDescent="0.45">
      <c r="A54" s="76" t="s">
        <v>64</v>
      </c>
      <c r="B54" s="77">
        <v>493.38</v>
      </c>
      <c r="C54" s="78">
        <v>43454</v>
      </c>
      <c r="D54" s="79">
        <f t="shared" si="0"/>
        <v>46387</v>
      </c>
      <c r="E54" s="72">
        <f t="shared" si="1"/>
        <v>2933</v>
      </c>
      <c r="F54" s="72">
        <f t="shared" si="2"/>
        <v>8.0356164383561648</v>
      </c>
      <c r="G54" s="80">
        <f t="shared" si="3"/>
        <v>882.20174460697103</v>
      </c>
    </row>
    <row r="55" spans="1:7" x14ac:dyDescent="0.45">
      <c r="A55" s="76" t="s">
        <v>64</v>
      </c>
      <c r="B55" s="77">
        <v>636.29999999999995</v>
      </c>
      <c r="C55" s="78">
        <v>43454</v>
      </c>
      <c r="D55" s="79">
        <f t="shared" si="0"/>
        <v>46387</v>
      </c>
      <c r="E55" s="72">
        <f t="shared" si="1"/>
        <v>2933</v>
      </c>
      <c r="F55" s="72">
        <f t="shared" si="2"/>
        <v>8.0356164383561648</v>
      </c>
      <c r="G55" s="80">
        <f t="shared" si="3"/>
        <v>1137.7538005055244</v>
      </c>
    </row>
    <row r="56" spans="1:7" x14ac:dyDescent="0.45">
      <c r="A56" s="76" t="s">
        <v>64</v>
      </c>
      <c r="B56" s="77">
        <v>417.5</v>
      </c>
      <c r="C56" s="78">
        <v>43455</v>
      </c>
      <c r="D56" s="79">
        <f t="shared" si="0"/>
        <v>46387</v>
      </c>
      <c r="E56" s="72">
        <f t="shared" si="1"/>
        <v>2932</v>
      </c>
      <c r="F56" s="72">
        <f t="shared" si="2"/>
        <v>8.0328767123287665</v>
      </c>
      <c r="G56" s="80">
        <f t="shared" si="3"/>
        <v>746.37451310014501</v>
      </c>
    </row>
    <row r="57" spans="1:7" x14ac:dyDescent="0.45">
      <c r="A57" s="76" t="s">
        <v>64</v>
      </c>
      <c r="B57" s="77">
        <v>81</v>
      </c>
      <c r="C57" s="78">
        <v>43473</v>
      </c>
      <c r="D57" s="79">
        <f t="shared" si="0"/>
        <v>46387</v>
      </c>
      <c r="E57" s="72">
        <f t="shared" si="1"/>
        <v>2914</v>
      </c>
      <c r="F57" s="72">
        <f t="shared" si="2"/>
        <v>7.9835616438356167</v>
      </c>
      <c r="G57" s="80">
        <f t="shared" si="3"/>
        <v>144.2900651047006</v>
      </c>
    </row>
    <row r="58" spans="1:7" x14ac:dyDescent="0.45">
      <c r="A58" s="76" t="s">
        <v>70</v>
      </c>
      <c r="B58" s="83">
        <v>12818.31</v>
      </c>
      <c r="C58" s="82">
        <v>43496</v>
      </c>
      <c r="D58" s="79">
        <f t="shared" si="0"/>
        <v>46387</v>
      </c>
      <c r="E58" s="72">
        <f t="shared" si="1"/>
        <v>2891</v>
      </c>
      <c r="F58" s="72">
        <f t="shared" si="2"/>
        <v>7.9205479452054792</v>
      </c>
      <c r="G58" s="80">
        <f t="shared" si="3"/>
        <v>22730.187458168693</v>
      </c>
    </row>
    <row r="59" spans="1:7" x14ac:dyDescent="0.45">
      <c r="A59" s="76" t="s">
        <v>70</v>
      </c>
      <c r="B59" s="83">
        <v>2067.7199999999998</v>
      </c>
      <c r="C59" s="82">
        <v>43496</v>
      </c>
      <c r="D59" s="79">
        <f t="shared" si="0"/>
        <v>46387</v>
      </c>
      <c r="E59" s="72">
        <f t="shared" si="1"/>
        <v>2891</v>
      </c>
      <c r="F59" s="72">
        <f t="shared" si="2"/>
        <v>7.9205479452054792</v>
      </c>
      <c r="G59" s="80">
        <f t="shared" si="3"/>
        <v>3666.6037263106109</v>
      </c>
    </row>
    <row r="60" spans="1:7" x14ac:dyDescent="0.45">
      <c r="A60" s="76" t="s">
        <v>70</v>
      </c>
      <c r="B60" s="83">
        <v>3095.39</v>
      </c>
      <c r="C60" s="82">
        <v>43496</v>
      </c>
      <c r="D60" s="79">
        <f t="shared" si="0"/>
        <v>46387</v>
      </c>
      <c r="E60" s="72">
        <f t="shared" si="1"/>
        <v>2891</v>
      </c>
      <c r="F60" s="72">
        <f t="shared" si="2"/>
        <v>7.9205479452054792</v>
      </c>
      <c r="G60" s="80">
        <f t="shared" si="3"/>
        <v>5488.9291143794144</v>
      </c>
    </row>
    <row r="61" spans="1:7" x14ac:dyDescent="0.45">
      <c r="A61" s="76" t="s">
        <v>65</v>
      </c>
      <c r="B61" s="77">
        <v>1394.83</v>
      </c>
      <c r="C61" s="78">
        <v>43511</v>
      </c>
      <c r="D61" s="79">
        <f t="shared" si="0"/>
        <v>46387</v>
      </c>
      <c r="E61" s="72">
        <f t="shared" si="1"/>
        <v>2876</v>
      </c>
      <c r="F61" s="72">
        <f t="shared" si="2"/>
        <v>7.8794520547945206</v>
      </c>
      <c r="G61" s="80">
        <f t="shared" si="3"/>
        <v>2466.055053555498</v>
      </c>
    </row>
    <row r="62" spans="1:7" x14ac:dyDescent="0.45">
      <c r="A62" s="76" t="s">
        <v>69</v>
      </c>
      <c r="B62" s="77">
        <v>13135.86</v>
      </c>
      <c r="C62" s="78">
        <v>43556</v>
      </c>
      <c r="D62" s="79">
        <f t="shared" si="0"/>
        <v>46387</v>
      </c>
      <c r="E62" s="72">
        <f t="shared" si="1"/>
        <v>2831</v>
      </c>
      <c r="F62" s="72">
        <f t="shared" si="2"/>
        <v>7.7561643835616438</v>
      </c>
      <c r="G62" s="80">
        <f t="shared" si="3"/>
        <v>23018.007271664017</v>
      </c>
    </row>
    <row r="63" spans="1:7" x14ac:dyDescent="0.45">
      <c r="A63" s="76" t="s">
        <v>64</v>
      </c>
      <c r="B63" s="77">
        <v>106.2</v>
      </c>
      <c r="C63" s="78">
        <v>43571</v>
      </c>
      <c r="D63" s="79">
        <f t="shared" si="0"/>
        <v>46387</v>
      </c>
      <c r="E63" s="72">
        <f t="shared" si="1"/>
        <v>2816</v>
      </c>
      <c r="F63" s="72">
        <f t="shared" si="2"/>
        <v>7.7150684931506852</v>
      </c>
      <c r="G63" s="80">
        <f t="shared" si="3"/>
        <v>185.54231446627819</v>
      </c>
    </row>
    <row r="64" spans="1:7" x14ac:dyDescent="0.45">
      <c r="A64" s="76" t="s">
        <v>69</v>
      </c>
      <c r="B64" s="77">
        <v>14706.91</v>
      </c>
      <c r="C64" s="78">
        <v>43592</v>
      </c>
      <c r="D64" s="79">
        <f t="shared" si="0"/>
        <v>46387</v>
      </c>
      <c r="E64" s="72">
        <f t="shared" si="1"/>
        <v>2795</v>
      </c>
      <c r="F64" s="72">
        <f t="shared" si="2"/>
        <v>7.6575342465753424</v>
      </c>
      <c r="G64" s="80">
        <f t="shared" si="3"/>
        <v>25587.792803483211</v>
      </c>
    </row>
    <row r="65" spans="1:7" x14ac:dyDescent="0.45">
      <c r="A65" s="76" t="s">
        <v>69</v>
      </c>
      <c r="B65" s="77">
        <v>3191.87</v>
      </c>
      <c r="C65" s="78">
        <v>43634</v>
      </c>
      <c r="D65" s="79">
        <f t="shared" si="0"/>
        <v>46387</v>
      </c>
      <c r="E65" s="72">
        <f t="shared" si="1"/>
        <v>2753</v>
      </c>
      <c r="F65" s="72">
        <f t="shared" si="2"/>
        <v>7.5424657534246577</v>
      </c>
      <c r="G65" s="80">
        <f t="shared" si="3"/>
        <v>5507.3472542280342</v>
      </c>
    </row>
    <row r="66" spans="1:7" x14ac:dyDescent="0.45">
      <c r="A66" s="76" t="s">
        <v>69</v>
      </c>
      <c r="B66" s="77">
        <v>40470.980000000003</v>
      </c>
      <c r="C66" s="78">
        <v>43686</v>
      </c>
      <c r="D66" s="79">
        <f t="shared" si="0"/>
        <v>46387</v>
      </c>
      <c r="E66" s="72">
        <f t="shared" si="1"/>
        <v>2701</v>
      </c>
      <c r="F66" s="72">
        <f t="shared" si="2"/>
        <v>7.4</v>
      </c>
      <c r="G66" s="80">
        <f t="shared" si="3"/>
        <v>69114.052152037009</v>
      </c>
    </row>
    <row r="67" spans="1:7" x14ac:dyDescent="0.45">
      <c r="A67" s="76" t="s">
        <v>69</v>
      </c>
      <c r="B67" s="77">
        <v>47279.55</v>
      </c>
      <c r="C67" s="78">
        <v>43727</v>
      </c>
      <c r="D67" s="79">
        <f t="shared" si="0"/>
        <v>46387</v>
      </c>
      <c r="E67" s="72">
        <f t="shared" si="1"/>
        <v>2660</v>
      </c>
      <c r="F67" s="72">
        <f t="shared" si="2"/>
        <v>7.2876712328767121</v>
      </c>
      <c r="G67" s="80">
        <f t="shared" si="3"/>
        <v>80088.082499117489</v>
      </c>
    </row>
    <row r="68" spans="1:7" x14ac:dyDescent="0.45">
      <c r="A68" s="76" t="s">
        <v>69</v>
      </c>
      <c r="B68" s="77">
        <v>261393</v>
      </c>
      <c r="C68" s="78">
        <v>43755</v>
      </c>
      <c r="D68" s="79">
        <f t="shared" si="0"/>
        <v>46387</v>
      </c>
      <c r="E68" s="72">
        <f t="shared" si="1"/>
        <v>2632</v>
      </c>
      <c r="F68" s="72">
        <f t="shared" si="2"/>
        <v>7.2109589041095887</v>
      </c>
      <c r="G68" s="80">
        <f t="shared" si="3"/>
        <v>440330.83430041338</v>
      </c>
    </row>
    <row r="69" spans="1:7" x14ac:dyDescent="0.45">
      <c r="A69" s="76" t="s">
        <v>70</v>
      </c>
      <c r="B69" s="83">
        <v>12494.06</v>
      </c>
      <c r="C69" s="82">
        <v>43861</v>
      </c>
      <c r="D69" s="79">
        <f t="shared" ref="D69:D112" si="4">D68</f>
        <v>46387</v>
      </c>
      <c r="E69" s="72">
        <f t="shared" ref="E69:E112" si="5">_xlfn.DAYS(D69,C69)</f>
        <v>2526</v>
      </c>
      <c r="F69" s="72">
        <f t="shared" ref="F69:F112" si="6">E69/365</f>
        <v>6.9205479452054792</v>
      </c>
      <c r="G69" s="80">
        <f t="shared" ref="G69:G112" si="7">B69*(1.075^F69)</f>
        <v>20609.495934067072</v>
      </c>
    </row>
    <row r="70" spans="1:7" x14ac:dyDescent="0.45">
      <c r="A70" s="76" t="s">
        <v>70</v>
      </c>
      <c r="B70" s="83">
        <v>2014.47</v>
      </c>
      <c r="C70" s="82">
        <v>43861</v>
      </c>
      <c r="D70" s="79">
        <f t="shared" si="4"/>
        <v>46387</v>
      </c>
      <c r="E70" s="72">
        <f t="shared" si="5"/>
        <v>2526</v>
      </c>
      <c r="F70" s="72">
        <f t="shared" si="6"/>
        <v>6.9205479452054792</v>
      </c>
      <c r="G70" s="80">
        <f t="shared" si="7"/>
        <v>3322.9559706212472</v>
      </c>
    </row>
    <row r="71" spans="1:7" x14ac:dyDescent="0.45">
      <c r="A71" s="76" t="s">
        <v>70</v>
      </c>
      <c r="B71" s="83">
        <v>3015.7</v>
      </c>
      <c r="C71" s="82">
        <v>43861</v>
      </c>
      <c r="D71" s="79">
        <f t="shared" si="4"/>
        <v>46387</v>
      </c>
      <c r="E71" s="72">
        <f t="shared" si="5"/>
        <v>2526</v>
      </c>
      <c r="F71" s="72">
        <f t="shared" si="6"/>
        <v>6.9205479452054792</v>
      </c>
      <c r="G71" s="80">
        <f t="shared" si="7"/>
        <v>4974.528446987294</v>
      </c>
    </row>
    <row r="72" spans="1:7" x14ac:dyDescent="0.45">
      <c r="A72" s="76" t="s">
        <v>70</v>
      </c>
      <c r="B72" s="83">
        <v>25423.97</v>
      </c>
      <c r="C72" s="82">
        <v>44227</v>
      </c>
      <c r="D72" s="79">
        <f t="shared" si="4"/>
        <v>46387</v>
      </c>
      <c r="E72" s="72">
        <f t="shared" si="5"/>
        <v>2160</v>
      </c>
      <c r="F72" s="72">
        <f t="shared" si="6"/>
        <v>5.9178082191780819</v>
      </c>
      <c r="G72" s="80">
        <f t="shared" si="7"/>
        <v>39004.313216860741</v>
      </c>
    </row>
    <row r="73" spans="1:7" x14ac:dyDescent="0.45">
      <c r="A73" s="76" t="s">
        <v>70</v>
      </c>
      <c r="B73" s="83">
        <v>3426.68</v>
      </c>
      <c r="C73" s="82">
        <v>44227</v>
      </c>
      <c r="D73" s="79">
        <f t="shared" si="4"/>
        <v>46387</v>
      </c>
      <c r="E73" s="72">
        <f t="shared" si="5"/>
        <v>2160</v>
      </c>
      <c r="F73" s="72">
        <f t="shared" si="6"/>
        <v>5.9178082191780819</v>
      </c>
      <c r="G73" s="80">
        <f t="shared" si="7"/>
        <v>5257.0585952529191</v>
      </c>
    </row>
    <row r="74" spans="1:7" x14ac:dyDescent="0.45">
      <c r="A74" s="76" t="s">
        <v>70</v>
      </c>
      <c r="B74" s="83">
        <v>5129.8</v>
      </c>
      <c r="C74" s="82">
        <v>44227</v>
      </c>
      <c r="D74" s="79">
        <f t="shared" si="4"/>
        <v>46387</v>
      </c>
      <c r="E74" s="72">
        <f t="shared" si="5"/>
        <v>2160</v>
      </c>
      <c r="F74" s="72">
        <f t="shared" si="6"/>
        <v>5.9178082191780819</v>
      </c>
      <c r="G74" s="80">
        <f t="shared" si="7"/>
        <v>7869.9088277657747</v>
      </c>
    </row>
    <row r="75" spans="1:7" x14ac:dyDescent="0.45">
      <c r="A75" s="76" t="s">
        <v>64</v>
      </c>
      <c r="B75" s="77">
        <v>749.25</v>
      </c>
      <c r="C75" s="78">
        <v>44287</v>
      </c>
      <c r="D75" s="79">
        <f t="shared" si="4"/>
        <v>46387</v>
      </c>
      <c r="E75" s="72">
        <f t="shared" si="5"/>
        <v>2100</v>
      </c>
      <c r="F75" s="72">
        <f t="shared" si="6"/>
        <v>5.7534246575342465</v>
      </c>
      <c r="G75" s="80">
        <f t="shared" si="7"/>
        <v>1135.8813901811498</v>
      </c>
    </row>
    <row r="76" spans="1:7" x14ac:dyDescent="0.45">
      <c r="A76" s="76" t="s">
        <v>70</v>
      </c>
      <c r="B76" s="83">
        <v>24740.31</v>
      </c>
      <c r="C76" s="82">
        <v>44592</v>
      </c>
      <c r="D76" s="79">
        <f t="shared" si="4"/>
        <v>46387</v>
      </c>
      <c r="E76" s="72">
        <f t="shared" si="5"/>
        <v>1795</v>
      </c>
      <c r="F76" s="72">
        <f t="shared" si="6"/>
        <v>4.9178082191780819</v>
      </c>
      <c r="G76" s="80">
        <f t="shared" si="7"/>
        <v>35307.41650395943</v>
      </c>
    </row>
    <row r="77" spans="1:7" x14ac:dyDescent="0.45">
      <c r="A77" s="76" t="s">
        <v>70</v>
      </c>
      <c r="B77" s="83">
        <v>3334.6</v>
      </c>
      <c r="C77" s="82">
        <v>44592</v>
      </c>
      <c r="D77" s="79">
        <f t="shared" si="4"/>
        <v>46387</v>
      </c>
      <c r="E77" s="72">
        <f t="shared" si="5"/>
        <v>1795</v>
      </c>
      <c r="F77" s="72">
        <f t="shared" si="6"/>
        <v>4.9178082191780819</v>
      </c>
      <c r="G77" s="80">
        <f t="shared" si="7"/>
        <v>4758.8777616005254</v>
      </c>
    </row>
    <row r="78" spans="1:7" x14ac:dyDescent="0.45">
      <c r="A78" s="76" t="s">
        <v>70</v>
      </c>
      <c r="B78" s="83">
        <v>4991.92</v>
      </c>
      <c r="C78" s="82">
        <v>44592</v>
      </c>
      <c r="D78" s="79">
        <f t="shared" si="4"/>
        <v>46387</v>
      </c>
      <c r="E78" s="72">
        <f t="shared" si="5"/>
        <v>1795</v>
      </c>
      <c r="F78" s="72">
        <f t="shared" si="6"/>
        <v>4.9178082191780819</v>
      </c>
      <c r="G78" s="80">
        <f t="shared" si="7"/>
        <v>7124.0739745963219</v>
      </c>
    </row>
    <row r="79" spans="1:7" x14ac:dyDescent="0.45">
      <c r="A79" s="76" t="s">
        <v>64</v>
      </c>
      <c r="B79" s="77">
        <v>2220.75</v>
      </c>
      <c r="C79" s="78">
        <v>44907</v>
      </c>
      <c r="D79" s="79">
        <f t="shared" si="4"/>
        <v>46387</v>
      </c>
      <c r="E79" s="72">
        <f t="shared" si="5"/>
        <v>1480</v>
      </c>
      <c r="F79" s="72">
        <f t="shared" si="6"/>
        <v>4.0547945205479454</v>
      </c>
      <c r="G79" s="80">
        <f t="shared" si="7"/>
        <v>2977.5189867319064</v>
      </c>
    </row>
    <row r="80" spans="1:7" x14ac:dyDescent="0.45">
      <c r="A80" s="76" t="s">
        <v>64</v>
      </c>
      <c r="B80" s="77">
        <v>1291.5</v>
      </c>
      <c r="C80" s="78">
        <v>44914</v>
      </c>
      <c r="D80" s="79">
        <f t="shared" si="4"/>
        <v>46387</v>
      </c>
      <c r="E80" s="72">
        <f t="shared" si="5"/>
        <v>1473</v>
      </c>
      <c r="F80" s="72">
        <f t="shared" si="6"/>
        <v>4.0356164383561648</v>
      </c>
      <c r="G80" s="80">
        <f t="shared" si="7"/>
        <v>1729.2067619563591</v>
      </c>
    </row>
    <row r="81" spans="1:7" x14ac:dyDescent="0.45">
      <c r="A81" s="76" t="s">
        <v>70</v>
      </c>
      <c r="B81" s="83">
        <v>23093.79</v>
      </c>
      <c r="C81" s="82">
        <v>44957</v>
      </c>
      <c r="D81" s="79">
        <f t="shared" si="4"/>
        <v>46387</v>
      </c>
      <c r="E81" s="72">
        <f t="shared" si="5"/>
        <v>1430</v>
      </c>
      <c r="F81" s="72">
        <f t="shared" si="6"/>
        <v>3.9178082191780823</v>
      </c>
      <c r="G81" s="80">
        <f t="shared" si="7"/>
        <v>30658.263440006085</v>
      </c>
    </row>
    <row r="82" spans="1:7" x14ac:dyDescent="0.45">
      <c r="A82" s="76" t="s">
        <v>70</v>
      </c>
      <c r="B82" s="83">
        <v>3112.89</v>
      </c>
      <c r="C82" s="82">
        <v>44957</v>
      </c>
      <c r="D82" s="79">
        <f t="shared" si="4"/>
        <v>46387</v>
      </c>
      <c r="E82" s="72">
        <f t="shared" si="5"/>
        <v>1430</v>
      </c>
      <c r="F82" s="72">
        <f t="shared" si="6"/>
        <v>3.9178082191780823</v>
      </c>
      <c r="G82" s="80">
        <f t="shared" si="7"/>
        <v>4132.5309392594518</v>
      </c>
    </row>
    <row r="83" spans="1:7" x14ac:dyDescent="0.45">
      <c r="A83" s="76" t="s">
        <v>70</v>
      </c>
      <c r="B83" s="83">
        <v>4660.0200000000004</v>
      </c>
      <c r="C83" s="82">
        <v>44957</v>
      </c>
      <c r="D83" s="79">
        <f t="shared" si="4"/>
        <v>46387</v>
      </c>
      <c r="E83" s="72">
        <f t="shared" si="5"/>
        <v>1430</v>
      </c>
      <c r="F83" s="72">
        <f t="shared" si="6"/>
        <v>3.9178082191780823</v>
      </c>
      <c r="G83" s="80">
        <f t="shared" si="7"/>
        <v>6186.4302392849841</v>
      </c>
    </row>
    <row r="84" spans="1:7" x14ac:dyDescent="0.45">
      <c r="A84" s="76" t="s">
        <v>64</v>
      </c>
      <c r="B84" s="77">
        <v>4047.75</v>
      </c>
      <c r="C84" s="78">
        <v>44963</v>
      </c>
      <c r="D84" s="79">
        <f t="shared" si="4"/>
        <v>46387</v>
      </c>
      <c r="E84" s="72">
        <f t="shared" si="5"/>
        <v>1424</v>
      </c>
      <c r="F84" s="72">
        <f t="shared" si="6"/>
        <v>3.9013698630136986</v>
      </c>
      <c r="G84" s="80">
        <f t="shared" si="7"/>
        <v>5367.2239564333877</v>
      </c>
    </row>
    <row r="85" spans="1:7" x14ac:dyDescent="0.45">
      <c r="A85" s="76" t="s">
        <v>64</v>
      </c>
      <c r="B85" s="77">
        <v>2922.75</v>
      </c>
      <c r="C85" s="78">
        <v>44974</v>
      </c>
      <c r="D85" s="79">
        <f t="shared" si="4"/>
        <v>46387</v>
      </c>
      <c r="E85" s="72">
        <f t="shared" si="5"/>
        <v>1413</v>
      </c>
      <c r="F85" s="72">
        <f t="shared" si="6"/>
        <v>3.871232876712329</v>
      </c>
      <c r="G85" s="80">
        <f t="shared" si="7"/>
        <v>3867.0621201890617</v>
      </c>
    </row>
    <row r="86" spans="1:7" x14ac:dyDescent="0.45">
      <c r="A86" s="76" t="s">
        <v>64</v>
      </c>
      <c r="B86" s="77">
        <v>2165.4</v>
      </c>
      <c r="C86" s="78">
        <v>45005</v>
      </c>
      <c r="D86" s="79">
        <f t="shared" si="4"/>
        <v>46387</v>
      </c>
      <c r="E86" s="72">
        <f t="shared" si="5"/>
        <v>1382</v>
      </c>
      <c r="F86" s="72">
        <f t="shared" si="6"/>
        <v>3.7863013698630139</v>
      </c>
      <c r="G86" s="80">
        <f t="shared" si="7"/>
        <v>2847.4758121956465</v>
      </c>
    </row>
    <row r="87" spans="1:7" x14ac:dyDescent="0.45">
      <c r="A87" s="76" t="s">
        <v>64</v>
      </c>
      <c r="B87" s="77">
        <v>3550.95</v>
      </c>
      <c r="C87" s="78">
        <v>45044</v>
      </c>
      <c r="D87" s="79">
        <f t="shared" si="4"/>
        <v>46387</v>
      </c>
      <c r="E87" s="72">
        <f t="shared" si="5"/>
        <v>1343</v>
      </c>
      <c r="F87" s="72">
        <f t="shared" si="6"/>
        <v>3.6794520547945204</v>
      </c>
      <c r="G87" s="80">
        <f t="shared" si="7"/>
        <v>4633.5141698659636</v>
      </c>
    </row>
    <row r="88" spans="1:7" x14ac:dyDescent="0.45">
      <c r="A88" s="76" t="s">
        <v>64</v>
      </c>
      <c r="B88" s="77">
        <v>3602.25</v>
      </c>
      <c r="C88" s="78">
        <v>45072</v>
      </c>
      <c r="D88" s="79">
        <f t="shared" si="4"/>
        <v>46387</v>
      </c>
      <c r="E88" s="72">
        <f t="shared" si="5"/>
        <v>1315</v>
      </c>
      <c r="F88" s="72">
        <f t="shared" si="6"/>
        <v>3.6027397260273974</v>
      </c>
      <c r="G88" s="80">
        <f t="shared" si="7"/>
        <v>4674.4484198283408</v>
      </c>
    </row>
    <row r="89" spans="1:7" x14ac:dyDescent="0.45">
      <c r="A89" s="76" t="s">
        <v>64</v>
      </c>
      <c r="B89" s="77">
        <v>304.7</v>
      </c>
      <c r="C89" s="78">
        <v>45126</v>
      </c>
      <c r="D89" s="79">
        <f t="shared" si="4"/>
        <v>46387</v>
      </c>
      <c r="E89" s="72">
        <f t="shared" si="5"/>
        <v>1261</v>
      </c>
      <c r="F89" s="72">
        <f t="shared" si="6"/>
        <v>3.4547945205479453</v>
      </c>
      <c r="G89" s="80">
        <f t="shared" si="7"/>
        <v>391.18504595333036</v>
      </c>
    </row>
    <row r="90" spans="1:7" x14ac:dyDescent="0.45">
      <c r="A90" s="76" t="s">
        <v>69</v>
      </c>
      <c r="B90" s="77">
        <v>11087.88</v>
      </c>
      <c r="C90" s="78">
        <v>45139</v>
      </c>
      <c r="D90" s="79">
        <f t="shared" si="4"/>
        <v>46387</v>
      </c>
      <c r="E90" s="72">
        <f t="shared" si="5"/>
        <v>1248</v>
      </c>
      <c r="F90" s="72">
        <f t="shared" si="6"/>
        <v>3.419178082191781</v>
      </c>
      <c r="G90" s="80">
        <f t="shared" si="7"/>
        <v>14198.407931773312</v>
      </c>
    </row>
    <row r="91" spans="1:7" x14ac:dyDescent="0.45">
      <c r="A91" s="76" t="s">
        <v>69</v>
      </c>
      <c r="B91" s="77">
        <v>355991.53</v>
      </c>
      <c r="C91" s="78">
        <v>45160</v>
      </c>
      <c r="D91" s="79">
        <f t="shared" si="4"/>
        <v>46387</v>
      </c>
      <c r="E91" s="72">
        <f t="shared" si="5"/>
        <v>1227</v>
      </c>
      <c r="F91" s="72">
        <f t="shared" si="6"/>
        <v>3.3616438356164382</v>
      </c>
      <c r="G91" s="80">
        <f t="shared" si="7"/>
        <v>453966.42638862552</v>
      </c>
    </row>
    <row r="92" spans="1:7" x14ac:dyDescent="0.45">
      <c r="A92" s="76" t="s">
        <v>69</v>
      </c>
      <c r="B92" s="77">
        <v>59914.8</v>
      </c>
      <c r="C92" s="78">
        <v>45181</v>
      </c>
      <c r="D92" s="79">
        <f t="shared" si="4"/>
        <v>46387</v>
      </c>
      <c r="E92" s="72">
        <f t="shared" si="5"/>
        <v>1206</v>
      </c>
      <c r="F92" s="72">
        <f t="shared" si="6"/>
        <v>3.3041095890410959</v>
      </c>
      <c r="G92" s="80">
        <f t="shared" si="7"/>
        <v>76087.115809133858</v>
      </c>
    </row>
    <row r="93" spans="1:7" x14ac:dyDescent="0.45">
      <c r="A93" s="76" t="s">
        <v>69</v>
      </c>
      <c r="B93" s="77">
        <v>11837.87</v>
      </c>
      <c r="C93" s="78">
        <v>45201</v>
      </c>
      <c r="D93" s="79">
        <f t="shared" si="4"/>
        <v>46387</v>
      </c>
      <c r="E93" s="72">
        <f t="shared" si="5"/>
        <v>1186</v>
      </c>
      <c r="F93" s="72">
        <f t="shared" si="6"/>
        <v>3.2493150684931509</v>
      </c>
      <c r="G93" s="80">
        <f t="shared" si="7"/>
        <v>14973.714991326235</v>
      </c>
    </row>
    <row r="94" spans="1:7" x14ac:dyDescent="0.45">
      <c r="A94" s="76" t="s">
        <v>69</v>
      </c>
      <c r="B94" s="77">
        <v>97695.06</v>
      </c>
      <c r="C94" s="78">
        <v>45202</v>
      </c>
      <c r="D94" s="79">
        <f t="shared" si="4"/>
        <v>46387</v>
      </c>
      <c r="E94" s="72">
        <f t="shared" si="5"/>
        <v>1185</v>
      </c>
      <c r="F94" s="72">
        <f t="shared" si="6"/>
        <v>3.2465753424657535</v>
      </c>
      <c r="G94" s="80">
        <f t="shared" si="7"/>
        <v>123549.94304632874</v>
      </c>
    </row>
    <row r="95" spans="1:7" x14ac:dyDescent="0.45">
      <c r="A95" s="76" t="s">
        <v>69</v>
      </c>
      <c r="B95" s="77">
        <v>16639.990000000002</v>
      </c>
      <c r="C95" s="78">
        <v>45246</v>
      </c>
      <c r="D95" s="79">
        <f t="shared" si="4"/>
        <v>46387</v>
      </c>
      <c r="E95" s="72">
        <f t="shared" si="5"/>
        <v>1141</v>
      </c>
      <c r="F95" s="72">
        <f t="shared" si="6"/>
        <v>3.1260273972602741</v>
      </c>
      <c r="G95" s="80">
        <f t="shared" si="7"/>
        <v>20861.079623566071</v>
      </c>
    </row>
    <row r="96" spans="1:7" x14ac:dyDescent="0.45">
      <c r="A96" s="76" t="s">
        <v>69</v>
      </c>
      <c r="B96" s="77">
        <v>2254.88</v>
      </c>
      <c r="C96" s="78">
        <v>45321</v>
      </c>
      <c r="D96" s="79">
        <f t="shared" si="4"/>
        <v>46387</v>
      </c>
      <c r="E96" s="72">
        <f t="shared" si="5"/>
        <v>1066</v>
      </c>
      <c r="F96" s="72">
        <f t="shared" si="6"/>
        <v>2.9205479452054797</v>
      </c>
      <c r="G96" s="80">
        <f t="shared" si="7"/>
        <v>2785.1805926466427</v>
      </c>
    </row>
    <row r="97" spans="1:7" x14ac:dyDescent="0.45">
      <c r="A97" s="76" t="s">
        <v>70</v>
      </c>
      <c r="B97" s="83">
        <v>20846.150000000001</v>
      </c>
      <c r="C97" s="82">
        <v>45322</v>
      </c>
      <c r="D97" s="79">
        <f t="shared" si="4"/>
        <v>46387</v>
      </c>
      <c r="E97" s="72">
        <f t="shared" si="5"/>
        <v>1065</v>
      </c>
      <c r="F97" s="72">
        <f t="shared" si="6"/>
        <v>2.9178082191780823</v>
      </c>
      <c r="G97" s="80">
        <f t="shared" si="7"/>
        <v>25743.626957718549</v>
      </c>
    </row>
    <row r="98" spans="1:7" x14ac:dyDescent="0.45">
      <c r="A98" s="76" t="s">
        <v>70</v>
      </c>
      <c r="B98" s="83">
        <v>2810.12</v>
      </c>
      <c r="C98" s="82">
        <v>45322</v>
      </c>
      <c r="D98" s="79">
        <f t="shared" si="4"/>
        <v>46387</v>
      </c>
      <c r="E98" s="72">
        <f t="shared" si="5"/>
        <v>1065</v>
      </c>
      <c r="F98" s="72">
        <f t="shared" si="6"/>
        <v>2.9178082191780823</v>
      </c>
      <c r="G98" s="80">
        <f t="shared" si="7"/>
        <v>3470.3137503291514</v>
      </c>
    </row>
    <row r="99" spans="1:7" x14ac:dyDescent="0.45">
      <c r="A99" s="76" t="s">
        <v>70</v>
      </c>
      <c r="B99" s="83">
        <v>4206.76</v>
      </c>
      <c r="C99" s="82">
        <v>45322</v>
      </c>
      <c r="D99" s="79">
        <f t="shared" si="4"/>
        <v>46387</v>
      </c>
      <c r="E99" s="72">
        <f t="shared" si="5"/>
        <v>1065</v>
      </c>
      <c r="F99" s="72">
        <f t="shared" si="6"/>
        <v>2.9178082191780823</v>
      </c>
      <c r="G99" s="80">
        <f t="shared" si="7"/>
        <v>5195.0724781627341</v>
      </c>
    </row>
    <row r="100" spans="1:7" x14ac:dyDescent="0.45">
      <c r="A100" s="76" t="s">
        <v>69</v>
      </c>
      <c r="B100" s="77">
        <v>8133.53</v>
      </c>
      <c r="C100" s="78">
        <v>45348</v>
      </c>
      <c r="D100" s="79">
        <f t="shared" si="4"/>
        <v>46387</v>
      </c>
      <c r="E100" s="72">
        <f t="shared" si="5"/>
        <v>1039</v>
      </c>
      <c r="F100" s="72">
        <f t="shared" si="6"/>
        <v>2.8465753424657536</v>
      </c>
      <c r="G100" s="80">
        <f t="shared" si="7"/>
        <v>9992.7640459741524</v>
      </c>
    </row>
    <row r="101" spans="1:7" x14ac:dyDescent="0.45">
      <c r="A101" s="76" t="s">
        <v>64</v>
      </c>
      <c r="B101" s="77">
        <v>1784.25</v>
      </c>
      <c r="C101" s="78">
        <v>45362</v>
      </c>
      <c r="D101" s="79">
        <f t="shared" si="4"/>
        <v>46387</v>
      </c>
      <c r="E101" s="72">
        <f t="shared" si="5"/>
        <v>1025</v>
      </c>
      <c r="F101" s="72">
        <f t="shared" si="6"/>
        <v>2.8082191780821919</v>
      </c>
      <c r="G101" s="80">
        <f t="shared" si="7"/>
        <v>2186.0372452414313</v>
      </c>
    </row>
    <row r="102" spans="1:7" x14ac:dyDescent="0.45">
      <c r="A102" s="76" t="s">
        <v>69</v>
      </c>
      <c r="B102" s="77">
        <v>17946.810000000001</v>
      </c>
      <c r="C102" s="78">
        <v>45366</v>
      </c>
      <c r="D102" s="79">
        <f t="shared" si="4"/>
        <v>46387</v>
      </c>
      <c r="E102" s="72">
        <f t="shared" si="5"/>
        <v>1021</v>
      </c>
      <c r="F102" s="72">
        <f t="shared" si="6"/>
        <v>2.7972602739726029</v>
      </c>
      <c r="G102" s="80">
        <f t="shared" si="7"/>
        <v>21970.751617345966</v>
      </c>
    </row>
    <row r="103" spans="1:7" x14ac:dyDescent="0.45">
      <c r="A103" s="76" t="s">
        <v>69</v>
      </c>
      <c r="B103" s="77">
        <v>14881.68</v>
      </c>
      <c r="C103" s="78">
        <v>45390</v>
      </c>
      <c r="D103" s="79">
        <f t="shared" si="4"/>
        <v>46387</v>
      </c>
      <c r="E103" s="72">
        <f t="shared" si="5"/>
        <v>997</v>
      </c>
      <c r="F103" s="72">
        <f t="shared" si="6"/>
        <v>2.7315068493150685</v>
      </c>
      <c r="G103" s="80">
        <f t="shared" si="7"/>
        <v>18131.945162220694</v>
      </c>
    </row>
    <row r="104" spans="1:7" x14ac:dyDescent="0.45">
      <c r="A104" s="76" t="s">
        <v>64</v>
      </c>
      <c r="B104" s="77">
        <v>396</v>
      </c>
      <c r="C104" s="78">
        <v>45447</v>
      </c>
      <c r="D104" s="79">
        <f t="shared" si="4"/>
        <v>46387</v>
      </c>
      <c r="E104" s="72">
        <f t="shared" si="5"/>
        <v>940</v>
      </c>
      <c r="F104" s="72">
        <f t="shared" si="6"/>
        <v>2.5753424657534247</v>
      </c>
      <c r="G104" s="80">
        <f t="shared" si="7"/>
        <v>477.07069248012027</v>
      </c>
    </row>
    <row r="105" spans="1:7" x14ac:dyDescent="0.45">
      <c r="A105" s="76" t="s">
        <v>64</v>
      </c>
      <c r="B105" s="77">
        <v>297</v>
      </c>
      <c r="C105" s="78">
        <v>45593</v>
      </c>
      <c r="D105" s="79">
        <f t="shared" si="4"/>
        <v>46387</v>
      </c>
      <c r="E105" s="72">
        <f t="shared" si="5"/>
        <v>794</v>
      </c>
      <c r="F105" s="72">
        <f t="shared" si="6"/>
        <v>2.1753424657534248</v>
      </c>
      <c r="G105" s="80">
        <f t="shared" si="7"/>
        <v>347.60067841054109</v>
      </c>
    </row>
    <row r="106" spans="1:7" x14ac:dyDescent="0.45">
      <c r="A106" s="76" t="s">
        <v>64</v>
      </c>
      <c r="B106" s="77">
        <v>560.1</v>
      </c>
      <c r="C106" s="78">
        <v>45667</v>
      </c>
      <c r="D106" s="79">
        <f t="shared" si="4"/>
        <v>46387</v>
      </c>
      <c r="E106" s="72">
        <f t="shared" si="5"/>
        <v>720</v>
      </c>
      <c r="F106" s="72">
        <f t="shared" si="6"/>
        <v>1.9726027397260273</v>
      </c>
      <c r="G106" s="80">
        <f t="shared" si="7"/>
        <v>645.98434799977429</v>
      </c>
    </row>
    <row r="107" spans="1:7" x14ac:dyDescent="0.45">
      <c r="A107" s="76" t="s">
        <v>70</v>
      </c>
      <c r="B107" s="83">
        <v>21646.92</v>
      </c>
      <c r="C107" s="82">
        <v>45688</v>
      </c>
      <c r="D107" s="79">
        <f t="shared" si="4"/>
        <v>46387</v>
      </c>
      <c r="E107" s="72">
        <f t="shared" si="5"/>
        <v>699</v>
      </c>
      <c r="F107" s="72">
        <f t="shared" si="6"/>
        <v>1.9150684931506849</v>
      </c>
      <c r="G107" s="80">
        <f t="shared" si="7"/>
        <v>24862.538717494845</v>
      </c>
    </row>
    <row r="108" spans="1:7" x14ac:dyDescent="0.45">
      <c r="A108" s="76" t="s">
        <v>70</v>
      </c>
      <c r="B108" s="83">
        <v>2919.01</v>
      </c>
      <c r="C108" s="82">
        <v>45688</v>
      </c>
      <c r="D108" s="79">
        <f t="shared" si="4"/>
        <v>46387</v>
      </c>
      <c r="E108" s="72">
        <f t="shared" si="5"/>
        <v>699</v>
      </c>
      <c r="F108" s="72">
        <f t="shared" si="6"/>
        <v>1.9150684931506849</v>
      </c>
      <c r="G108" s="80">
        <f t="shared" si="7"/>
        <v>3352.6247217504679</v>
      </c>
    </row>
    <row r="109" spans="1:7" x14ac:dyDescent="0.45">
      <c r="A109" s="76" t="s">
        <v>70</v>
      </c>
      <c r="B109" s="84">
        <v>4369.79</v>
      </c>
      <c r="C109" s="85">
        <v>45688</v>
      </c>
      <c r="D109" s="79">
        <f t="shared" si="4"/>
        <v>46387</v>
      </c>
      <c r="E109" s="72">
        <f t="shared" si="5"/>
        <v>699</v>
      </c>
      <c r="F109" s="72">
        <f t="shared" si="6"/>
        <v>1.9150684931506849</v>
      </c>
      <c r="G109" s="86">
        <f t="shared" si="7"/>
        <v>5018.9159964707133</v>
      </c>
    </row>
    <row r="110" spans="1:7" x14ac:dyDescent="0.45">
      <c r="A110" s="76" t="s">
        <v>70</v>
      </c>
      <c r="B110" s="87">
        <v>22100.95</v>
      </c>
      <c r="C110" s="82">
        <v>46053</v>
      </c>
      <c r="D110" s="82">
        <f t="shared" si="4"/>
        <v>46387</v>
      </c>
      <c r="E110" s="76">
        <f t="shared" si="5"/>
        <v>334</v>
      </c>
      <c r="F110" s="76">
        <f t="shared" si="6"/>
        <v>0.91506849315068495</v>
      </c>
      <c r="G110" s="80">
        <f t="shared" si="7"/>
        <v>23613.036482398024</v>
      </c>
    </row>
    <row r="111" spans="1:7" x14ac:dyDescent="0.45">
      <c r="A111" s="76" t="s">
        <v>70</v>
      </c>
      <c r="B111" s="87">
        <v>2979.42</v>
      </c>
      <c r="C111" s="82">
        <v>46054</v>
      </c>
      <c r="D111" s="82">
        <f t="shared" si="4"/>
        <v>46387</v>
      </c>
      <c r="E111" s="76">
        <f t="shared" si="5"/>
        <v>333</v>
      </c>
      <c r="F111" s="76">
        <f t="shared" si="6"/>
        <v>0.9123287671232877</v>
      </c>
      <c r="G111" s="80">
        <f t="shared" si="7"/>
        <v>3182.6330926059813</v>
      </c>
    </row>
    <row r="112" spans="1:7" x14ac:dyDescent="0.45">
      <c r="A112" s="76" t="s">
        <v>70</v>
      </c>
      <c r="B112" s="87">
        <v>4460.22</v>
      </c>
      <c r="C112" s="82">
        <v>46055</v>
      </c>
      <c r="D112" s="82">
        <f t="shared" si="4"/>
        <v>46387</v>
      </c>
      <c r="E112" s="76">
        <f t="shared" si="5"/>
        <v>332</v>
      </c>
      <c r="F112" s="76">
        <f t="shared" si="6"/>
        <v>0.90958904109589045</v>
      </c>
      <c r="G112" s="80">
        <f t="shared" si="7"/>
        <v>4763.4880018190333</v>
      </c>
    </row>
    <row r="114" spans="3:7" x14ac:dyDescent="0.45">
      <c r="C114" s="88" t="s">
        <v>57</v>
      </c>
      <c r="D114" s="88"/>
      <c r="E114" s="88"/>
      <c r="F114" s="88"/>
      <c r="G114" s="89">
        <f>SUM(G4:G112)</f>
        <v>11098545.591015121</v>
      </c>
    </row>
    <row r="115" spans="3:7" x14ac:dyDescent="0.45">
      <c r="C115" s="88" t="s">
        <v>71</v>
      </c>
      <c r="D115" s="88"/>
      <c r="E115" s="88"/>
      <c r="F115" s="88"/>
      <c r="G115" s="90">
        <f>678874+43247+29173</f>
        <v>751294</v>
      </c>
    </row>
    <row r="116" spans="3:7" x14ac:dyDescent="0.45">
      <c r="C116" s="88" t="s">
        <v>72</v>
      </c>
      <c r="D116" s="88"/>
      <c r="E116" s="88"/>
      <c r="F116" s="88"/>
      <c r="G116" s="89">
        <f>(G114/G115)</f>
        <v>14.772573175102051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Loan Payoff Sensitivity</vt:lpstr>
      <vt:lpstr>AMZL 1.0 Infrastructure</vt:lpstr>
      <vt:lpstr>AMZL 2.0 Infrasructure</vt:lpstr>
      <vt:lpstr>HEB Repurchase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Dong</dc:creator>
  <cp:lastModifiedBy>Shawn Dong</cp:lastModifiedBy>
  <dcterms:created xsi:type="dcterms:W3CDTF">2026-05-08T18:57:18Z</dcterms:created>
  <dcterms:modified xsi:type="dcterms:W3CDTF">2026-07-01T16:10:26Z</dcterms:modified>
</cp:coreProperties>
</file>